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"/>
    </mc:Choice>
  </mc:AlternateContent>
  <xr:revisionPtr revIDLastSave="8" documentId="8_{8146946D-19C4-480F-8317-467A7805B6E4}" xr6:coauthVersionLast="47" xr6:coauthVersionMax="47" xr10:uidLastSave="{F06B6C2C-236E-4EEE-B142-A9E3F223A323}"/>
  <bookViews>
    <workbookView xWindow="-108" yWindow="-108" windowWidth="23256" windowHeight="12456" tabRatio="500" firstSheet="1" activeTab="1" xr2:uid="{00000000-000D-0000-FFFF-FFFF00000000}"/>
  </bookViews>
  <sheets>
    <sheet name="ALG Caseware" sheetId="2" r:id="rId1"/>
    <sheet name="NPO Caseware" sheetId="3" r:id="rId2"/>
    <sheet name="Process Flow 1" sheetId="4" r:id="rId3"/>
    <sheet name="Automated Process Flow 2" sheetId="5" state="hidden" r:id="rId4"/>
    <sheet name="Flow" sheetId="6" state="hidden" r:id="rId5"/>
  </sheets>
  <definedNames>
    <definedName name="_xlnm._FilterDatabase" localSheetId="0" hidden="1">'ALG Caseware'!$A$1:$O$485</definedName>
    <definedName name="_xlnm._FilterDatabase" localSheetId="1" hidden="1">'NPO Caseware'!$B$2:$N$291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0" i="3" l="1"/>
  <c r="J139" i="3"/>
  <c r="J138" i="3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282" i="2"/>
  <c r="G282" i="2"/>
  <c r="H271" i="2"/>
  <c r="G271" i="2"/>
  <c r="H268" i="2"/>
  <c r="G268" i="2"/>
  <c r="H249" i="2"/>
  <c r="G249" i="2"/>
  <c r="H247" i="2"/>
  <c r="G247" i="2"/>
  <c r="H246" i="2"/>
  <c r="G246" i="2"/>
  <c r="H244" i="2"/>
  <c r="G244" i="2"/>
  <c r="H243" i="2"/>
  <c r="G243" i="2"/>
  <c r="H240" i="2"/>
  <c r="G240" i="2"/>
  <c r="H239" i="2"/>
  <c r="G239" i="2"/>
  <c r="H237" i="2"/>
  <c r="G237" i="2"/>
  <c r="H233" i="2"/>
  <c r="G233" i="2"/>
  <c r="H232" i="2"/>
  <c r="G232" i="2"/>
  <c r="H231" i="2"/>
  <c r="G231" i="2"/>
  <c r="H226" i="2"/>
  <c r="G226" i="2"/>
  <c r="H225" i="2"/>
  <c r="G225" i="2"/>
  <c r="H224" i="2"/>
  <c r="G224" i="2"/>
  <c r="H223" i="2"/>
  <c r="G223" i="2"/>
  <c r="H221" i="2"/>
  <c r="G221" i="2"/>
  <c r="H208" i="2"/>
  <c r="G208" i="2"/>
  <c r="H207" i="2"/>
  <c r="G207" i="2"/>
  <c r="H206" i="2"/>
  <c r="G206" i="2"/>
  <c r="H201" i="2"/>
  <c r="G201" i="2"/>
  <c r="H200" i="2"/>
  <c r="G200" i="2"/>
  <c r="H192" i="2"/>
  <c r="G192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08" i="2"/>
  <c r="G108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2" i="2"/>
  <c r="G62" i="2"/>
  <c r="H61" i="2"/>
  <c r="G61" i="2"/>
  <c r="H59" i="2"/>
  <c r="G59" i="2"/>
  <c r="H58" i="2"/>
  <c r="G58" i="2"/>
  <c r="H56" i="2"/>
  <c r="G56" i="2"/>
  <c r="H55" i="2"/>
  <c r="H53" i="2"/>
  <c r="G53" i="2"/>
  <c r="H52" i="2"/>
  <c r="G52" i="2"/>
  <c r="H49" i="2"/>
  <c r="G49" i="2"/>
  <c r="H48" i="2"/>
  <c r="G48" i="2"/>
  <c r="H47" i="2"/>
  <c r="G47" i="2"/>
  <c r="H46" i="2"/>
  <c r="G46" i="2"/>
  <c r="H41" i="2"/>
  <c r="G41" i="2"/>
  <c r="H40" i="2"/>
  <c r="G40" i="2"/>
  <c r="H39" i="2"/>
  <c r="G39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2" i="2"/>
  <c r="G22" i="2"/>
  <c r="H21" i="2"/>
  <c r="G21" i="2"/>
  <c r="H20" i="2"/>
  <c r="G20" i="2"/>
  <c r="H19" i="2"/>
  <c r="G19" i="2"/>
  <c r="H18" i="2"/>
  <c r="G18" i="2"/>
  <c r="H13" i="2"/>
  <c r="G13" i="2"/>
  <c r="H12" i="2"/>
  <c r="G12" i="2"/>
  <c r="H11" i="2"/>
  <c r="G11" i="2"/>
  <c r="H10" i="2"/>
  <c r="G10" i="2"/>
  <c r="H9" i="2"/>
  <c r="G9" i="2"/>
  <c r="H8" i="2"/>
  <c r="G8" i="2"/>
  <c r="H5" i="2"/>
  <c r="G5" i="2"/>
  <c r="H4" i="2"/>
  <c r="G4" i="2"/>
  <c r="H3" i="2"/>
  <c r="G3" i="2"/>
  <c r="H2" i="2"/>
  <c r="G2" i="2"/>
</calcChain>
</file>

<file path=xl/sharedStrings.xml><?xml version="1.0" encoding="utf-8"?>
<sst xmlns="http://schemas.openxmlformats.org/spreadsheetml/2006/main" count="6963" uniqueCount="1703">
  <si>
    <t>WP Index ID</t>
  </si>
  <si>
    <t>Process Flow</t>
  </si>
  <si>
    <t>Process Flow-2</t>
  </si>
  <si>
    <t>Type</t>
  </si>
  <si>
    <t>FS Section</t>
  </si>
  <si>
    <t>Document Name</t>
  </si>
  <si>
    <t>Source</t>
  </si>
  <si>
    <t>File Format</t>
  </si>
  <si>
    <t>PPC Form Reference</t>
  </si>
  <si>
    <t>Notes</t>
  </si>
  <si>
    <t>Time Bucket</t>
  </si>
  <si>
    <t>Rationale</t>
  </si>
  <si>
    <t>Audit Manager Override</t>
  </si>
  <si>
    <t>Audit Reviewer Note</t>
  </si>
  <si>
    <t>FS-FINAL</t>
  </si>
  <si>
    <t>Financial Statements and Deliverables Section</t>
  </si>
  <si>
    <t>Final PDF Copy of the Audited Financial Statements</t>
  </si>
  <si>
    <t>time_static</t>
  </si>
  <si>
    <t>FS draft/final — FS layout stable</t>
  </si>
  <si>
    <t>FS-CV</t>
  </si>
  <si>
    <t>Working Copy of the CaseView Financial Statements</t>
  </si>
  <si>
    <t>CaseView FS working copy — layout stable</t>
  </si>
  <si>
    <t>FS-CV-1</t>
  </si>
  <si>
    <t>Cash Flow Worksheet (if applicable)</t>
  </si>
  <si>
    <t>cash flow worksheet — format stable</t>
  </si>
  <si>
    <t>FS-PROG</t>
  </si>
  <si>
    <t>Audit Program for General Auditing and Completion Procedures</t>
  </si>
  <si>
    <t>ALG-AP-20</t>
  </si>
  <si>
    <t>audit program — standard procedure</t>
  </si>
  <si>
    <t>FS-PROG-1</t>
  </si>
  <si>
    <t>Additional General Auditing and Completion Procedures for an Initial Audit (If applicable)</t>
  </si>
  <si>
    <t>PPC</t>
  </si>
  <si>
    <t>Word</t>
  </si>
  <si>
    <t>ALG-IA-20</t>
  </si>
  <si>
    <t>Use only if this is a first year audit for Harshwal &amp; CO/Blue Arrow CPAs</t>
  </si>
  <si>
    <t>FS deliverables — default standard procedure (section default)</t>
  </si>
  <si>
    <t>FS-1</t>
  </si>
  <si>
    <t>Governmental Disclosure Checklist</t>
  </si>
  <si>
    <t>ALG-CX-13.1</t>
  </si>
  <si>
    <t>disclosure checklist — slowly evolving</t>
  </si>
  <si>
    <t>FS-2</t>
  </si>
  <si>
    <t>Management Representation Letter (Client Endorsed)</t>
  </si>
  <si>
    <t>MRL template — standard</t>
  </si>
  <si>
    <t>FS-2-1</t>
  </si>
  <si>
    <t>Management Representation Letter Template</t>
  </si>
  <si>
    <t>ALG-CL-3.1</t>
  </si>
  <si>
    <t>FS-3</t>
  </si>
  <si>
    <t>Legal Representation Letter (Returned Response from Attorney)</t>
  </si>
  <si>
    <t>FS-4</t>
  </si>
  <si>
    <t>Communication to Those Charged with Governance at Conclusion (Final PDF Copy provided to Client)</t>
  </si>
  <si>
    <t>FS-4-1</t>
  </si>
  <si>
    <t>Communication to Those Charged with Governance at Conclusion Template</t>
  </si>
  <si>
    <t>ALG-CL-5.2</t>
  </si>
  <si>
    <t>TCWG comm — standard</t>
  </si>
  <si>
    <t>FS-5</t>
  </si>
  <si>
    <t>Audit Presentation PowerPoint</t>
  </si>
  <si>
    <t>FS-6</t>
  </si>
  <si>
    <t>Final Analytical Procedures - Opinion Unit #1</t>
  </si>
  <si>
    <t>HCLLP WP</t>
  </si>
  <si>
    <t>Excel</t>
  </si>
  <si>
    <t>substantive procedure — standard</t>
  </si>
  <si>
    <t>FS-6-1</t>
  </si>
  <si>
    <t>Final Analytical Procedures - Opinion Unit #2</t>
  </si>
  <si>
    <t>FS-6-2</t>
  </si>
  <si>
    <t>Final Analytical Procedures - Opinion Unit #3</t>
  </si>
  <si>
    <t>FS-6-3</t>
  </si>
  <si>
    <t>Final Analytical Procedures - Opinion Unit #4</t>
  </si>
  <si>
    <t>FS-7</t>
  </si>
  <si>
    <t>Estimates Identification and Retrospective Review</t>
  </si>
  <si>
    <t>ALG-CX-3.6</t>
  </si>
  <si>
    <t>FS-8</t>
  </si>
  <si>
    <t>Supervision, Review and Approval Form</t>
  </si>
  <si>
    <t>ALG-CX-14</t>
  </si>
  <si>
    <t>supervision/review form — standard</t>
  </si>
  <si>
    <t>FS-9</t>
  </si>
  <si>
    <t xml:space="preserve">Retirment Plan Employee and Employer Contribution Report - Footnote Support </t>
  </si>
  <si>
    <t>FS-9-1</t>
  </si>
  <si>
    <t>Additional FS Footnote Support #2</t>
  </si>
  <si>
    <t>FS-9-2</t>
  </si>
  <si>
    <t>Additional FS Footnote Support #3</t>
  </si>
  <si>
    <t>FS-10</t>
  </si>
  <si>
    <t>Component Audited FS (if applicable)</t>
  </si>
  <si>
    <t>PBC</t>
  </si>
  <si>
    <t>PDF</t>
  </si>
  <si>
    <t>group audit — standard procedure</t>
  </si>
  <si>
    <t>FS-10-1</t>
  </si>
  <si>
    <t>Request for Representation from Component Auditor When Reference Will be Made (if applicable)</t>
  </si>
  <si>
    <t>ALG-CX-14.1</t>
  </si>
  <si>
    <t>FS-10-2</t>
  </si>
  <si>
    <t>Letter of Instructions from Group Auditor to Component Auditors When Reference Will be Made (if applicable)</t>
  </si>
  <si>
    <t>ALG-CX-14.3</t>
  </si>
  <si>
    <t>FS-10-3</t>
  </si>
  <si>
    <t>Peer Review Report of Component Auditor (if applicable)</t>
  </si>
  <si>
    <t>ML-1</t>
  </si>
  <si>
    <t>ML Section</t>
  </si>
  <si>
    <t>Management Advisory Letter and Findings Section</t>
  </si>
  <si>
    <t>Schedule of Findings and Questioned Costs</t>
  </si>
  <si>
    <t>questioned costs listing — format stable</t>
  </si>
  <si>
    <t>ML-2</t>
  </si>
  <si>
    <t>Corrective Action Plan (Provided by Client)</t>
  </si>
  <si>
    <t>ML/findings — finding structure procedural (section default)</t>
  </si>
  <si>
    <t>ML-3</t>
  </si>
  <si>
    <t>Inventory Tracking Listing of Findings and Questioned Costs - Financial Statement Findings</t>
  </si>
  <si>
    <t>ML-3-1</t>
  </si>
  <si>
    <t>Inventory Tracking Listing of Findings and Questioned Costs - Federal Award Findings</t>
  </si>
  <si>
    <t>ML-4</t>
  </si>
  <si>
    <t>Control Deficiency Evaluation Worksheet</t>
  </si>
  <si>
    <t>ALG-CX-15.1</t>
  </si>
  <si>
    <t>IC evaluation matrix — standard</t>
  </si>
  <si>
    <t>ML-5</t>
  </si>
  <si>
    <t>Noncompliance Evaluation Form - Federal Award Programs</t>
  </si>
  <si>
    <t>ML-6</t>
  </si>
  <si>
    <t>Status of Prior Year Findings and Questioned Costs</t>
  </si>
  <si>
    <t>TB-1</t>
  </si>
  <si>
    <t>TB Section</t>
  </si>
  <si>
    <t>Trial Balance Section</t>
  </si>
  <si>
    <t>Trial Balance - Opinion Unit #1 [e.g. Governmental Activities] (Automatic CaseWare Document)</t>
  </si>
  <si>
    <t>LeadSheet</t>
  </si>
  <si>
    <t>TB — mapping stable 4-5 yrs</t>
  </si>
  <si>
    <t>TB-1-1</t>
  </si>
  <si>
    <t>Trial Balance - Opinion Unit #2 (Automatic CaseWare Document)</t>
  </si>
  <si>
    <t>TB-1-2</t>
  </si>
  <si>
    <t>Trial Balance - Opinion Unit #3 (Automatic CaseWare Document)</t>
  </si>
  <si>
    <t>TB-1-3</t>
  </si>
  <si>
    <t>Trial Balance - Opinion Unit #4 (Automatic CaseWare Document)</t>
  </si>
  <si>
    <t>TB-2</t>
  </si>
  <si>
    <t>Trial Balance Import File</t>
  </si>
  <si>
    <t>TB-3</t>
  </si>
  <si>
    <t>Adjusting Journal Entries Report (Automatic CaseWare Document)</t>
  </si>
  <si>
    <t>AJE/RJE — JE listing format stable</t>
  </si>
  <si>
    <t>TB-4</t>
  </si>
  <si>
    <t>Reclassifying Journal Entries Report (Automatic CaseWare Document)</t>
  </si>
  <si>
    <t>TB section — format/mapping stable 4-5 yrs (section default)</t>
  </si>
  <si>
    <t>TB-5</t>
  </si>
  <si>
    <t>Passed Adjusting Journal Entries Report (Automatic CaseWare Document)</t>
  </si>
  <si>
    <t>TB-6</t>
  </si>
  <si>
    <t>Audit Difference Evaluation Form - Opinion Unit #1</t>
  </si>
  <si>
    <t>ALG-CX-12.2</t>
  </si>
  <si>
    <t>audit difference eval — format stable</t>
  </si>
  <si>
    <t>TB-6-1</t>
  </si>
  <si>
    <t>Audit Difference Evaluation Form - Opinion Unit #2</t>
  </si>
  <si>
    <t>TB-6-2</t>
  </si>
  <si>
    <t>Audit Difference Evaluation Form - Opinion Unit #3</t>
  </si>
  <si>
    <t>TB-6-3</t>
  </si>
  <si>
    <t>Audit Difference Evaluation Form - Opinion Unit #4</t>
  </si>
  <si>
    <t>PL-PROG</t>
  </si>
  <si>
    <t>PL Section</t>
  </si>
  <si>
    <t>Planning Section</t>
  </si>
  <si>
    <t>Audit Program for General Planning Procedures</t>
  </si>
  <si>
    <t>ALG-AP-10</t>
  </si>
  <si>
    <t>PL-1</t>
  </si>
  <si>
    <t>Engagement Acceptance and Continuation Form</t>
  </si>
  <si>
    <t>ALG-CX-1.1</t>
  </si>
  <si>
    <t>engagement procedure — standard</t>
  </si>
  <si>
    <t>PL-2</t>
  </si>
  <si>
    <t>Evaluating Independence - Yellowbook and GAAS Audits</t>
  </si>
  <si>
    <t>ALG-CX-1.3</t>
  </si>
  <si>
    <t>independence checklist — standard procedure</t>
  </si>
  <si>
    <t>PL-3</t>
  </si>
  <si>
    <t>Continuing Professional Education Documentation Form</t>
  </si>
  <si>
    <t>ALG-CX-1.4</t>
  </si>
  <si>
    <t>Planning — standard procedure by default (section default)</t>
  </si>
  <si>
    <t>PL-4</t>
  </si>
  <si>
    <t>Engagement Letter (Client Signed/Endorsed)</t>
  </si>
  <si>
    <t xml:space="preserve">PL-4-1 </t>
  </si>
  <si>
    <t>Engagement Letter (template sent to client)</t>
  </si>
  <si>
    <t xml:space="preserve">Caseview </t>
  </si>
  <si>
    <t>PL-5</t>
  </si>
  <si>
    <t>Communication to Those Charged with Governance During Planning</t>
  </si>
  <si>
    <t>ALG-CL-5.1</t>
  </si>
  <si>
    <t>PL-6</t>
  </si>
  <si>
    <t>Understanding the Entity and Identifying Risks</t>
  </si>
  <si>
    <t>ALG-CX-3.1</t>
  </si>
  <si>
    <t>understanding entity — standard</t>
  </si>
  <si>
    <t>PL-6-1</t>
  </si>
  <si>
    <t>Listing of Board Members/Tribal Council including contact information</t>
  </si>
  <si>
    <t>PL-6-2</t>
  </si>
  <si>
    <t>Listing of Management and Key Personnel including contact information</t>
  </si>
  <si>
    <t>PL-6-3</t>
  </si>
  <si>
    <t>Listing of Legal Counsel including contact information</t>
  </si>
  <si>
    <t>PL-7</t>
  </si>
  <si>
    <t>Major Fund Determination Worksheet</t>
  </si>
  <si>
    <t>ALG-CX-1.10</t>
  </si>
  <si>
    <t>time_sensitive</t>
  </si>
  <si>
    <t>Major Fund 10% test — GASB threshold parameters</t>
  </si>
  <si>
    <t>PL-8</t>
  </si>
  <si>
    <t>Financial Statement Materiality Worksheet for Planning Purposes</t>
  </si>
  <si>
    <t>ALG-CX-2.1</t>
  </si>
  <si>
    <t>materiality calc — benchmark %/threshold $ that updates</t>
  </si>
  <si>
    <t>PL-8-1</t>
  </si>
  <si>
    <t>Financial Statement Materiality Worksheet - Final Assessment at Conclusion</t>
  </si>
  <si>
    <t>PL-8-2</t>
  </si>
  <si>
    <t>Analysis of Group Components and Determination of Component Materiality (if applicable)</t>
  </si>
  <si>
    <t>ALG-CX-3.5</t>
  </si>
  <si>
    <t>PL-9</t>
  </si>
  <si>
    <t>Audit Program for Minutes, Contracts, Ordinances, and Laws</t>
  </si>
  <si>
    <t>ALG-AP-40</t>
  </si>
  <si>
    <t>PL-9-1</t>
  </si>
  <si>
    <t>Review of Board Minutes Workpaper</t>
  </si>
  <si>
    <t>PL-10</t>
  </si>
  <si>
    <t>Preliminary Analytical - Opinion Unit #1 (CaseWare Automatic Document)</t>
  </si>
  <si>
    <t>LeadSheet/Excel</t>
  </si>
  <si>
    <t>PL-10-1</t>
  </si>
  <si>
    <t>Preliminary Analytical - Opinion Unit #2 (CaseWare Automatic Document)</t>
  </si>
  <si>
    <t>PL-10-2</t>
  </si>
  <si>
    <t>Preliminary Analytical - Opinion Unit #3 (CaseWare Automatic Document)</t>
  </si>
  <si>
    <t>PL-10-3</t>
  </si>
  <si>
    <t>Preliminary Analytical - Opinion Unit #4 (CaseWare Automatic Document)</t>
  </si>
  <si>
    <t>PL-11</t>
  </si>
  <si>
    <t xml:space="preserve">PBC List </t>
  </si>
  <si>
    <t>PBC list — standard</t>
  </si>
  <si>
    <t>PL-12</t>
  </si>
  <si>
    <t>Confirmation Control Log (Standard Workpaper)</t>
  </si>
  <si>
    <t>Remember: AU-C 330.20 requires external confirmations for AR to be sent unless:</t>
  </si>
  <si>
    <t>confirmation procedure/template — standard</t>
  </si>
  <si>
    <t>PL-12-1</t>
  </si>
  <si>
    <t>Cash Confirmation #1 (Client Endorsed)</t>
  </si>
  <si>
    <t>1) Balance is Immaterial</t>
  </si>
  <si>
    <t>PL-12-1-1</t>
  </si>
  <si>
    <t>Cash Confirmation #1 Template</t>
  </si>
  <si>
    <t xml:space="preserve">2) External Confirmations would be ineffective </t>
  </si>
  <si>
    <t>PL-12-2</t>
  </si>
  <si>
    <t>Cash Confirmation #2 (Client Endorsed)</t>
  </si>
  <si>
    <t xml:space="preserve">3) The Auditor's risk of material misstatement is low and other planned procedures address </t>
  </si>
  <si>
    <t>PL-12-2-1</t>
  </si>
  <si>
    <t>Cash Confirmation #2 Template</t>
  </si>
  <si>
    <t>the assessed risk.</t>
  </si>
  <si>
    <t>PL-12-3</t>
  </si>
  <si>
    <t>AR Confirmation #1 (Client Endorsed)</t>
  </si>
  <si>
    <t>Document witin PL-12 the reason for not sending AR confirmations if they are not</t>
  </si>
  <si>
    <t>PL-12-3-1</t>
  </si>
  <si>
    <t>AR Confirmation #1 Template</t>
  </si>
  <si>
    <t>sent.</t>
  </si>
  <si>
    <t>PL-12-4</t>
  </si>
  <si>
    <t>AR Confirmation #2 (Client Endorsed)</t>
  </si>
  <si>
    <t>PL-12-4-1</t>
  </si>
  <si>
    <t>AR Confirmation #2 Template</t>
  </si>
  <si>
    <t>PL-12-5</t>
  </si>
  <si>
    <t>Investments Confirmation #1 (Client Endorsed)</t>
  </si>
  <si>
    <t>PL-12-5-1</t>
  </si>
  <si>
    <t>Investments Confirmation #1 Template</t>
  </si>
  <si>
    <t>PL-12-6</t>
  </si>
  <si>
    <t>Debt Confirmation #1 (Client Endorsed)</t>
  </si>
  <si>
    <t>PL-12-6-1</t>
  </si>
  <si>
    <t>Debt Confirmation #1 Template</t>
  </si>
  <si>
    <t>PL-12-7</t>
  </si>
  <si>
    <t>Debt Confirmation #2 (Client Endorsed)</t>
  </si>
  <si>
    <t>PL-12-7-1</t>
  </si>
  <si>
    <t>Debt Confirmation #2 Template</t>
  </si>
  <si>
    <t>PL-12-8</t>
  </si>
  <si>
    <t>Legal Representation Letter #1 (Client Endorsed)</t>
  </si>
  <si>
    <t>PL-12-8-1</t>
  </si>
  <si>
    <t>Legal Representation Letter #1 Template</t>
  </si>
  <si>
    <t>template — rollforward, standard structure</t>
  </si>
  <si>
    <t>PL-12-9</t>
  </si>
  <si>
    <t>Legal Representation Letter #2 (Client Endorsed)</t>
  </si>
  <si>
    <t>PL-12-9-1</t>
  </si>
  <si>
    <t>Legal Representation Letter #2 Template</t>
  </si>
  <si>
    <t>PL-12-10</t>
  </si>
  <si>
    <t>Fraud Risk and Related Party Questionnaire Template #1</t>
  </si>
  <si>
    <t>fraud procedure — standard</t>
  </si>
  <si>
    <t>PL-12-11</t>
  </si>
  <si>
    <t>Fraud Risk and Related Party Questionnaire Template #2</t>
  </si>
  <si>
    <t>PL-12-12</t>
  </si>
  <si>
    <t>Fraud Risk and Related Party Questionnaire Template #3</t>
  </si>
  <si>
    <t>PL-12-13</t>
  </si>
  <si>
    <t>Fraud Risk and Related Party Questionnaire Template #4</t>
  </si>
  <si>
    <t>PL-13</t>
  </si>
  <si>
    <t>Additional General Planning Procedures for an Initial Audit</t>
  </si>
  <si>
    <t>NPO-IA-10</t>
  </si>
  <si>
    <t>PL-13-1</t>
  </si>
  <si>
    <t>Request for Predecessor Auditor to Release Information to Successor Auditor (Signed by Client)</t>
  </si>
  <si>
    <t>NPO-CL-13.1</t>
  </si>
  <si>
    <t>PL-13-2</t>
  </si>
  <si>
    <t>Predecessor Auditor Questionnaire Response</t>
  </si>
  <si>
    <t>PL-13-3</t>
  </si>
  <si>
    <t>Predecessor Auditor Workpaper Review Memo</t>
  </si>
  <si>
    <t>timeless</t>
  </si>
  <si>
    <t>review memo — methodology</t>
  </si>
  <si>
    <t>IC-1</t>
  </si>
  <si>
    <t>IC Section</t>
  </si>
  <si>
    <t>Internal Control Section</t>
  </si>
  <si>
    <t>Understanding and Evaluating the System of Internal Control</t>
  </si>
  <si>
    <t>ALG-CX-4.1</t>
  </si>
  <si>
    <t>IC — standard procedure by default (section default)</t>
  </si>
  <si>
    <t>IC-2</t>
  </si>
  <si>
    <t>Internal Control Documentation - Financial Close and Reporting and Significant Transaction Classes</t>
  </si>
  <si>
    <t>ALG-CX-4.2.1</t>
  </si>
  <si>
    <t>IC-2-1</t>
  </si>
  <si>
    <t>Internal Control Documentation - IT Environment and General IT Controls</t>
  </si>
  <si>
    <t>ALG-CX-4.2.2</t>
  </si>
  <si>
    <t>IC-2-3</t>
  </si>
  <si>
    <t>Internal Control Documentation - Evaluation of Design and Implementation of Identified Controls</t>
  </si>
  <si>
    <t>ALG-CX-4.2.3</t>
  </si>
  <si>
    <t>IC-3</t>
  </si>
  <si>
    <t>Entity-level Control Form for Control Environment</t>
  </si>
  <si>
    <t>ALG-CX-5.1</t>
  </si>
  <si>
    <t>IC-3-1</t>
  </si>
  <si>
    <t>Entity-level Control Form for Risk Assessment</t>
  </si>
  <si>
    <t>ALG-CX-5.2</t>
  </si>
  <si>
    <t>risk assessment template — standard procedure</t>
  </si>
  <si>
    <t>IC-3-2</t>
  </si>
  <si>
    <t>Entity-level Control Form for Information and Communication</t>
  </si>
  <si>
    <t>ALG-CX-5.3</t>
  </si>
  <si>
    <t>IC-3-3</t>
  </si>
  <si>
    <t>Entity-Level Control Form for Monitoring</t>
  </si>
  <si>
    <t>ALG-CX-5.4</t>
  </si>
  <si>
    <t>IC-3-4</t>
  </si>
  <si>
    <t>Entity-level Control Form for General IT Controls</t>
  </si>
  <si>
    <t>ALG-CX-5.5</t>
  </si>
  <si>
    <t>IC-4</t>
  </si>
  <si>
    <t>Control Activities Form for Financial Close and Reporting</t>
  </si>
  <si>
    <t>ALG-CX-5.6</t>
  </si>
  <si>
    <t>IC-4-1</t>
  </si>
  <si>
    <t>Control Activities Form for Cash</t>
  </si>
  <si>
    <t>ALG-CX-5.7</t>
  </si>
  <si>
    <t>IC-4-2</t>
  </si>
  <si>
    <t>Control Activities Form for Revenues, Receivables, and Receipts - Governmental Funds</t>
  </si>
  <si>
    <t>ALC-CX-5.9</t>
  </si>
  <si>
    <t>IC-4-3</t>
  </si>
  <si>
    <t>Control Activities Form for Expenditures (Expenses) for Goods and Services and Accounts Payable and Other Liabilities</t>
  </si>
  <si>
    <t>ALG-CX-5.11</t>
  </si>
  <si>
    <t>IC-4-4</t>
  </si>
  <si>
    <t>Control Activities Form for Payroll and Related Liabilities</t>
  </si>
  <si>
    <t>ALG-CX-5.12</t>
  </si>
  <si>
    <t>IC-4-5</t>
  </si>
  <si>
    <t>Control Activities Form for Equity and Financial Statement Reconciliations</t>
  </si>
  <si>
    <t>ALG-CX-5.16</t>
  </si>
  <si>
    <t>IC-4-6</t>
  </si>
  <si>
    <t>Control Activities Form for Grant and Similar Programs</t>
  </si>
  <si>
    <t>ALG-CX-5.19</t>
  </si>
  <si>
    <t>IC-5</t>
  </si>
  <si>
    <t>Internal Control Memo - Financial Close and Report</t>
  </si>
  <si>
    <t>IC memo — describes how controls work</t>
  </si>
  <si>
    <t>IC-5-1</t>
  </si>
  <si>
    <t>Internal Control Memo - Cash</t>
  </si>
  <si>
    <t>IC-5-2</t>
  </si>
  <si>
    <t>Internal Control Memo - Revenues, Receivables, and Receipts - Governmental Funds</t>
  </si>
  <si>
    <t>IC-5-3</t>
  </si>
  <si>
    <t>Internal Control Memo - Expenditures (Expenses) for Goods and Services and Accounts Payable and Other Liabilities</t>
  </si>
  <si>
    <t>IC-5-4</t>
  </si>
  <si>
    <t>Internal Control Memo - Payroll and Related Liabilities</t>
  </si>
  <si>
    <t>IC-5-5</t>
  </si>
  <si>
    <t>Internal Control Memo - Equity and Financial Statement Reconciliations</t>
  </si>
  <si>
    <t>IC-5-6</t>
  </si>
  <si>
    <t>Internal Control Memo - Grants and Similar Programs</t>
  </si>
  <si>
    <t>IC-6</t>
  </si>
  <si>
    <t>Walkthrough Testing over Financial Close and Reporting</t>
  </si>
  <si>
    <t>walkthrough — standard procedure</t>
  </si>
  <si>
    <t>IC-6-1</t>
  </si>
  <si>
    <t>Walkthrough Testing over Cash</t>
  </si>
  <si>
    <t>IC-6-2</t>
  </si>
  <si>
    <t>Walkthrough Testing over Revenues, Receivables, and Receipts - Governmental Funds</t>
  </si>
  <si>
    <t>IC-6-3</t>
  </si>
  <si>
    <t>Walkthrough Testing over Expenditures (Expenses) for Goods and Services and Accounts Payable and Other Liabilities</t>
  </si>
  <si>
    <t>IC-6-4</t>
  </si>
  <si>
    <t>Walkthrough Testing over Payroll and Related Liabilities</t>
  </si>
  <si>
    <t>IC-6-5</t>
  </si>
  <si>
    <t>Walkthrough Testing over Equity and Financial Statement Reconciliations</t>
  </si>
  <si>
    <t>IC-6-6</t>
  </si>
  <si>
    <t>Walkthrough Testing over Grants and Similar Programs</t>
  </si>
  <si>
    <t>IC-7</t>
  </si>
  <si>
    <t>IT Systems - Systems Access Testing (if applicable)</t>
  </si>
  <si>
    <t>IC-7-1</t>
  </si>
  <si>
    <t>IT System - Backup Recovery Testing</t>
  </si>
  <si>
    <t>IC-8</t>
  </si>
  <si>
    <t>Internal Control Questionnaire - Response from Client</t>
  </si>
  <si>
    <t>ICQ — standard</t>
  </si>
  <si>
    <t>IC-8-1</t>
  </si>
  <si>
    <t>Internal Control Questionnaire - Template sent to Client</t>
  </si>
  <si>
    <t>IC-9</t>
  </si>
  <si>
    <t>Information Technology Internal Control Questionnaire - Response from Client</t>
  </si>
  <si>
    <t>IC-9-1</t>
  </si>
  <si>
    <t>Information Technology Internal Control Questionnaire - Template sent to Client</t>
  </si>
  <si>
    <t>IC-10</t>
  </si>
  <si>
    <t>Documentation Form for Reliance on a SOC 1 Report (if applicable) - Service Organization #1</t>
  </si>
  <si>
    <t>ALG-CX-4.4</t>
  </si>
  <si>
    <t>IC-10-1</t>
  </si>
  <si>
    <t>Documentation Form for Reliance on a SOC 1 Report (if applicable) - Service Organization #2</t>
  </si>
  <si>
    <t>IC-11</t>
  </si>
  <si>
    <t>SOC 1 Report for Service Organization #1</t>
  </si>
  <si>
    <t>IC-11-1</t>
  </si>
  <si>
    <t>SOC 1 Report GAP Letter for Service Organization #1</t>
  </si>
  <si>
    <t>IC-11-2</t>
  </si>
  <si>
    <t>SOC 1 Report for Service Organization #2</t>
  </si>
  <si>
    <t>IC-11-3</t>
  </si>
  <si>
    <t>SOC 1 Report GAP Letter for Service Organization #2</t>
  </si>
  <si>
    <t>FR-1</t>
  </si>
  <si>
    <t>FR Section</t>
  </si>
  <si>
    <t>Fraud Risk and Related Parties Section</t>
  </si>
  <si>
    <t>Engagement Team Discussion</t>
  </si>
  <si>
    <t>ALG-CX-3.2</t>
  </si>
  <si>
    <t>Fraud risk — standard procedure by default (section default)</t>
  </si>
  <si>
    <t>FR-2</t>
  </si>
  <si>
    <t>Fraud Risk Inquiries Form</t>
  </si>
  <si>
    <t>ALG-CX-3.3</t>
  </si>
  <si>
    <t>inquiry/interview procedure — standard</t>
  </si>
  <si>
    <t>FR-2-1</t>
  </si>
  <si>
    <t>Fraud Risk and Related Party Questionnaire #1 - (Returned from Client)</t>
  </si>
  <si>
    <t>FR-2-2</t>
  </si>
  <si>
    <t>Fraud Risk and Related Party Questionnaire #2 - (Returned from Client)</t>
  </si>
  <si>
    <t>FR-2-3</t>
  </si>
  <si>
    <t>Fraud Risk and Related Party Questionnaire #3 - (Returned from Client)</t>
  </si>
  <si>
    <t>FR-2-4</t>
  </si>
  <si>
    <t>Fraud Risk and Related Party Questionnaire #4 - (Returned from Client)</t>
  </si>
  <si>
    <t>FR-3</t>
  </si>
  <si>
    <t>Credit Card Testwork (if applicable)</t>
  </si>
  <si>
    <t>testwork — standard procedure</t>
  </si>
  <si>
    <t>FR-4</t>
  </si>
  <si>
    <t>General Journal Entry Testwork</t>
  </si>
  <si>
    <t>FR-5</t>
  </si>
  <si>
    <t>Payment Register Analysis by Vendor</t>
  </si>
  <si>
    <t>FR-5-1</t>
  </si>
  <si>
    <t>Significant or Unusual Vendor Testwork</t>
  </si>
  <si>
    <t>FR-6</t>
  </si>
  <si>
    <t>Related Parties Analysis (if applicable)</t>
  </si>
  <si>
    <t>RA-1</t>
  </si>
  <si>
    <t>RA Section</t>
  </si>
  <si>
    <t>Risk Assessment Section</t>
  </si>
  <si>
    <t>Risk Assessment Summary Form - Opinion Unit #1</t>
  </si>
  <si>
    <t>ALG-CX-7.1</t>
  </si>
  <si>
    <t>RA-1-1</t>
  </si>
  <si>
    <t>Risk Assessment Summary Form - Opinion Unit #2</t>
  </si>
  <si>
    <t>RA-1-2</t>
  </si>
  <si>
    <t>Risk Assessment Summary Form - Opinion Unit #3</t>
  </si>
  <si>
    <t>RA-1-3</t>
  </si>
  <si>
    <t>Risk Assessment Summary Form - Opinion Unit #4</t>
  </si>
  <si>
    <t>RA-2</t>
  </si>
  <si>
    <t>Inherent Risk Assessment Summary Form - Opinion Unit #1</t>
  </si>
  <si>
    <t>ALG-CX-7.2</t>
  </si>
  <si>
    <t>RA-2-1</t>
  </si>
  <si>
    <t>Inherent Risk Assessment Summary Form - Opinion Unit #2</t>
  </si>
  <si>
    <t>RA-2-2</t>
  </si>
  <si>
    <t>Inherent Risk Assessment Summary Form - Opinion Unit #3</t>
  </si>
  <si>
    <t>RA-2-3</t>
  </si>
  <si>
    <t>Inherent Risk Assessment Summary Form - Opinion Unit #4</t>
  </si>
  <si>
    <t>RA-3</t>
  </si>
  <si>
    <t>Financial Statement Area Scoping and Sampling Worksheet (standard workpaper)</t>
  </si>
  <si>
    <t>sampling — standard procedure</t>
  </si>
  <si>
    <t>A-LEAD</t>
  </si>
  <si>
    <t>A Section</t>
  </si>
  <si>
    <t>Cash and Cash Equivalents Section</t>
  </si>
  <si>
    <t>Cash and CE Leadsheet (Caseware automatic document)</t>
  </si>
  <si>
    <t>leadsheet — format stable across years</t>
  </si>
  <si>
    <t>A-PROG</t>
  </si>
  <si>
    <t>Audit Program for Cash and Cash Equivalents</t>
  </si>
  <si>
    <t>ALG-AP-50</t>
  </si>
  <si>
    <t>A-FN</t>
  </si>
  <si>
    <t>Cash and CE Footnote Preparation Workpaper</t>
  </si>
  <si>
    <t>footnote prep — FS note structure stable</t>
  </si>
  <si>
    <t>A-1</t>
  </si>
  <si>
    <t>Cash and CE Testwork Series (Standard Workpaper)</t>
  </si>
  <si>
    <t>A-2</t>
  </si>
  <si>
    <t>Cash and CE Confirmation #1 (Returned from Banking Institution)</t>
  </si>
  <si>
    <t>A-2-1</t>
  </si>
  <si>
    <t>Cash and CE Confirmation #2 (Returned from Banking Institution)</t>
  </si>
  <si>
    <t>A-3</t>
  </si>
  <si>
    <t>Year-end Detailed Bank Statement #1 (with check images)</t>
  </si>
  <si>
    <t>client source doc — stable reference</t>
  </si>
  <si>
    <t>A-3-1</t>
  </si>
  <si>
    <t>Year-end Detailed Bank Statement #2 (with check images)</t>
  </si>
  <si>
    <t>A-4</t>
  </si>
  <si>
    <t>Subsequent Detailed Bank Statement #1 (with check images)</t>
  </si>
  <si>
    <t>A-4-1</t>
  </si>
  <si>
    <t>Subsequent Detailed Bank Statement #2 (with check images)</t>
  </si>
  <si>
    <t>B-LEAD</t>
  </si>
  <si>
    <t>B Section</t>
  </si>
  <si>
    <t>Accounts Receivable Section</t>
  </si>
  <si>
    <t>Accounts Receivable Leadsheet (Caseware automatic document)</t>
  </si>
  <si>
    <t>B-PROG</t>
  </si>
  <si>
    <t>Audit Program for Revenue, Receivables, and Receipts - Governmental Funds</t>
  </si>
  <si>
    <t>ALG-AP-70</t>
  </si>
  <si>
    <t>B-PROG-1</t>
  </si>
  <si>
    <t>Audit Program for Revenue, Receivables, and Receipts - Proprietary Funds</t>
  </si>
  <si>
    <t>ALG-AP-80</t>
  </si>
  <si>
    <t>B-FN</t>
  </si>
  <si>
    <t>Accounts Receivable Footnote Preparation Workpaper</t>
  </si>
  <si>
    <t>B-1</t>
  </si>
  <si>
    <t>Accounts Receivable Aging Report at Year-End</t>
  </si>
  <si>
    <t>aging — listing format stable</t>
  </si>
  <si>
    <t>B-2</t>
  </si>
  <si>
    <t>Subsequent Collections of AR Testwork</t>
  </si>
  <si>
    <t>B-3</t>
  </si>
  <si>
    <t>AR Confirmation #1 (Returned from Customer/Grantor)</t>
  </si>
  <si>
    <t>B-3-1</t>
  </si>
  <si>
    <t>AR Confirmation #2 (Returned from Customer/Grantor)</t>
  </si>
  <si>
    <t>C-LEAD</t>
  </si>
  <si>
    <t>C Section</t>
  </si>
  <si>
    <t>Inventory Section</t>
  </si>
  <si>
    <t>Inventory Leadsheet (CaseWare automatic document)</t>
  </si>
  <si>
    <t>C-PROG</t>
  </si>
  <si>
    <t xml:space="preserve">Audit Program for Inventories </t>
  </si>
  <si>
    <t>ALG-AP-110</t>
  </si>
  <si>
    <t>C-1</t>
  </si>
  <si>
    <t>Detailed Inventory Listing at Year-End</t>
  </si>
  <si>
    <t>inventory source doc — standard</t>
  </si>
  <si>
    <t>C-2</t>
  </si>
  <si>
    <t>Inventory Analytics</t>
  </si>
  <si>
    <t>analytics — comparison format stable</t>
  </si>
  <si>
    <t>C-3</t>
  </si>
  <si>
    <t>Year-end Inventory Count Observation Memo</t>
  </si>
  <si>
    <t>observation memo — describes procedure objective</t>
  </si>
  <si>
    <t>C-3-1</t>
  </si>
  <si>
    <t>Year-end Inventory Count Observation Supporting Documents</t>
  </si>
  <si>
    <t>default — Audit Manager to confirm</t>
  </si>
  <si>
    <t>D-LEAD</t>
  </si>
  <si>
    <t>D Section</t>
  </si>
  <si>
    <t>Prepaid Expenses and Other Assets Section</t>
  </si>
  <si>
    <t>Prepaid Expenses Leadsheet</t>
  </si>
  <si>
    <t>D-PROG</t>
  </si>
  <si>
    <t>Audit Program for Prepaid Expenses and Other Assets</t>
  </si>
  <si>
    <t>NPO-AP-120</t>
  </si>
  <si>
    <t>D-1</t>
  </si>
  <si>
    <t>Prepaid Expenses Amortization Testwork</t>
  </si>
  <si>
    <t>D-2</t>
  </si>
  <si>
    <t>Prepaid Expenses Statement #1 (e.g. insurance, maintenance agreement, etc.)</t>
  </si>
  <si>
    <t>prepaid source doc — standard</t>
  </si>
  <si>
    <t>D-2-1</t>
  </si>
  <si>
    <t>Prepaid Expenses Statement #2 (e.g. insurance, maintenance agreement, etc.)</t>
  </si>
  <si>
    <t>E-LEAD</t>
  </si>
  <si>
    <t>E Section</t>
  </si>
  <si>
    <t>Investments Section</t>
  </si>
  <si>
    <t>Investments Leadsheet</t>
  </si>
  <si>
    <t>E-PROG</t>
  </si>
  <si>
    <t>Audit Program for Investments and Derivative Instruments</t>
  </si>
  <si>
    <t>ALG-AP-60</t>
  </si>
  <si>
    <t>E-FN</t>
  </si>
  <si>
    <t>Investments Footnote Preparation Workpaper</t>
  </si>
  <si>
    <t>E-1</t>
  </si>
  <si>
    <t>Investments Rollforward and Reconciliation Testwork</t>
  </si>
  <si>
    <t>rollforward — movement schedule stable</t>
  </si>
  <si>
    <t>E-2</t>
  </si>
  <si>
    <t>Investments Confirmation #1 (Returned from Banking Institution)</t>
  </si>
  <si>
    <t>E-3</t>
  </si>
  <si>
    <t>Detailed Investment Statements for all months for year under audit</t>
  </si>
  <si>
    <t>E-4</t>
  </si>
  <si>
    <t>Subsequent Investment Statements after year-end</t>
  </si>
  <si>
    <t>F-LEAD</t>
  </si>
  <si>
    <t>F Section</t>
  </si>
  <si>
    <t>Capital Assets Section</t>
  </si>
  <si>
    <t>Capital Assets Leadsheet (Governmental Activities)</t>
  </si>
  <si>
    <t>F-LEAD-1</t>
  </si>
  <si>
    <t>Capital Outlay Leadsheet</t>
  </si>
  <si>
    <t>F-PROG</t>
  </si>
  <si>
    <t>Audit Program for Capital Assets</t>
  </si>
  <si>
    <t>ALG-AP-120</t>
  </si>
  <si>
    <t>F-FN</t>
  </si>
  <si>
    <t>Capital Assets Footnote Preparation Workpaper</t>
  </si>
  <si>
    <t>F-1</t>
  </si>
  <si>
    <t>Capital Asset Rollforward Testing (Standard Workpaper)</t>
  </si>
  <si>
    <t>F-1-1</t>
  </si>
  <si>
    <t>Detailed Listing of Capital Assets and Depreciation (PBC)</t>
  </si>
  <si>
    <t>F-2</t>
  </si>
  <si>
    <t>Capital Asset Additions Testwork (Standard Workpaper)</t>
  </si>
  <si>
    <t>F-2-1</t>
  </si>
  <si>
    <t>Planning Worksheet to Determine Extent of Substantive Procedures</t>
  </si>
  <si>
    <t>ALG-CX-8.1</t>
  </si>
  <si>
    <t>F-2-2</t>
  </si>
  <si>
    <t>Sampling Planning and Evaluation Form - Substantive Procedures (if applicable)</t>
  </si>
  <si>
    <t>ALG-CX-8.2</t>
  </si>
  <si>
    <t>F-3</t>
  </si>
  <si>
    <t>Search for Unrecorded Capital Assets (Review of Repairs and Maintenance) Testwork (Standard Workpaper)</t>
  </si>
  <si>
    <t>F-4</t>
  </si>
  <si>
    <t>Capital Assets Disposal Testwork (Standard Testwork)</t>
  </si>
  <si>
    <t>F-5</t>
  </si>
  <si>
    <t>GASB 87 - Right-of-Use Assets Rollforward (Standard Workpaper)</t>
  </si>
  <si>
    <t>cites specific GASB statement — version-dependent</t>
  </si>
  <si>
    <t>F-5-1</t>
  </si>
  <si>
    <t>GASB 87 - Leases Testwork and Analysis</t>
  </si>
  <si>
    <t>F-5-2</t>
  </si>
  <si>
    <t>Detailed Listing of Leases Related to Tangible Plant, Property, and Equipment (PBC)</t>
  </si>
  <si>
    <t>F-5-3</t>
  </si>
  <si>
    <t>Right-of-Use Lease Agreement #1</t>
  </si>
  <si>
    <t>contract / agreement — stable source doc</t>
  </si>
  <si>
    <t>F-5-4</t>
  </si>
  <si>
    <t>Right-of-Use Lease Agreement #2</t>
  </si>
  <si>
    <t>F-6</t>
  </si>
  <si>
    <t>Subscription Based IT Arrangements Rollforward (Standard Workpaper)</t>
  </si>
  <si>
    <t>GASB 96 SBITA — reg-version specific</t>
  </si>
  <si>
    <t>F-6-1</t>
  </si>
  <si>
    <t>Subscription Based IT Arrangements Testwork and Analysis</t>
  </si>
  <si>
    <t>F-6-2</t>
  </si>
  <si>
    <t>Detailed Listing of Subscription Based IT Arrangements (PBC)</t>
  </si>
  <si>
    <t>F-6-3</t>
  </si>
  <si>
    <t>IT Subscription Agreement #1</t>
  </si>
  <si>
    <t>F-6-4</t>
  </si>
  <si>
    <t>IT Subscription Agreement #2</t>
  </si>
  <si>
    <t>F-7</t>
  </si>
  <si>
    <t>Review of Lease Expenses for GASB 87 and GASB 96 Application</t>
  </si>
  <si>
    <t>G-Lead</t>
  </si>
  <si>
    <t>G Section</t>
  </si>
  <si>
    <t>Interfunds Section</t>
  </si>
  <si>
    <t>Interfunds (Due To/Due From) Leadsheet</t>
  </si>
  <si>
    <t>AA-LEAD</t>
  </si>
  <si>
    <t>AA Section</t>
  </si>
  <si>
    <t>Debt and Debt Service Section</t>
  </si>
  <si>
    <t>Debt Leadsheet (Governmental Activities)</t>
  </si>
  <si>
    <t>AA-LEAD-1</t>
  </si>
  <si>
    <t>Proceeds from the Issuance of Debt Leadsheet</t>
  </si>
  <si>
    <t>AA-LEAD-2</t>
  </si>
  <si>
    <t>Debt Service Leadsheet</t>
  </si>
  <si>
    <t>AA-PROG</t>
  </si>
  <si>
    <t>Audit Program for Debt and Debt Service Expenditures</t>
  </si>
  <si>
    <t>ALG-AP-130</t>
  </si>
  <si>
    <t>AA-FN</t>
  </si>
  <si>
    <t>Debt and Debt Service Footnote Preparation Workpaper</t>
  </si>
  <si>
    <t>AA-1</t>
  </si>
  <si>
    <t>Debt Rollforward Testing (Standard Workpaper)</t>
  </si>
  <si>
    <t>AA-1-1</t>
  </si>
  <si>
    <t>Debt and Debt Service Analytics Testwork (Standard Workpaper)</t>
  </si>
  <si>
    <t>AA-2</t>
  </si>
  <si>
    <t>Debt Confirmation #1 (Returned from Lending Institution)</t>
  </si>
  <si>
    <t>AA-2-1</t>
  </si>
  <si>
    <t>Debt Confirmation #2 (Returned from Lending Institution)</t>
  </si>
  <si>
    <t>AA-3</t>
  </si>
  <si>
    <t>Monthly Debt and Debt Service Statements #1</t>
  </si>
  <si>
    <t>AA-3-1</t>
  </si>
  <si>
    <t>Monthly Debt and Debt Service Statements #2</t>
  </si>
  <si>
    <t>AA-4</t>
  </si>
  <si>
    <t>Right-of-Use Lease Liability Analysis</t>
  </si>
  <si>
    <t>AA-5</t>
  </si>
  <si>
    <t>Subscription Based IT Arrangements Liability Analysis</t>
  </si>
  <si>
    <t>BB-LEAD</t>
  </si>
  <si>
    <t>BB Section</t>
  </si>
  <si>
    <t>Accounts Payable Section</t>
  </si>
  <si>
    <t>Accounts Payable Leadsheet</t>
  </si>
  <si>
    <t>BB-PROG</t>
  </si>
  <si>
    <t>Audit Program for Expenditures/Expenses for Goods and Services and Accounts Payable and Other Liabilities</t>
  </si>
  <si>
    <t>ALG-AP-90</t>
  </si>
  <si>
    <t>BB-1</t>
  </si>
  <si>
    <t>Search for Unrecorded Liabilities (Standard Workpaper)</t>
  </si>
  <si>
    <t>search for unrecorded — standard procedure</t>
  </si>
  <si>
    <t>BB-2</t>
  </si>
  <si>
    <t>Aged Accounts Payable Listing at Year-End</t>
  </si>
  <si>
    <t>BB-2-1</t>
  </si>
  <si>
    <t>Detailed Manual AP Listing at Year-End (if applicable)</t>
  </si>
  <si>
    <t>CC-LEAD</t>
  </si>
  <si>
    <t>CC Section</t>
  </si>
  <si>
    <t>Accrued Liabilities Section</t>
  </si>
  <si>
    <t>Accrued Liabilities Leadsheet</t>
  </si>
  <si>
    <t>CC-PROG</t>
  </si>
  <si>
    <t>Audit Program for Payroll Expenditures and Related Liabilities</t>
  </si>
  <si>
    <t>ALG-AP-100</t>
  </si>
  <si>
    <t>CC-1</t>
  </si>
  <si>
    <t>Accrued Payroll Liabilities Testwork (Standard Workpaper)</t>
  </si>
  <si>
    <t>CC-2</t>
  </si>
  <si>
    <t>Subsequent Payroll Earnings Register (Provided by Client)</t>
  </si>
  <si>
    <t>payroll source doc — standard</t>
  </si>
  <si>
    <t>DD-LEAD</t>
  </si>
  <si>
    <t>DD Section</t>
  </si>
  <si>
    <t>Unearned Revenue Section</t>
  </si>
  <si>
    <t>Unearned Revenue Leadsheet</t>
  </si>
  <si>
    <t>DD-PROG</t>
  </si>
  <si>
    <t>Audit Program for Grant and Similar Programs</t>
  </si>
  <si>
    <t>ALG-AP-170</t>
  </si>
  <si>
    <t>DD-FN</t>
  </si>
  <si>
    <t>Grants Receivable/Unearned Grants Revenue Footnote Preparation Workpaper</t>
  </si>
  <si>
    <t>DD-1</t>
  </si>
  <si>
    <t>Grants Receivable/Unearned Grants Revenue Rollforward (Standard Workpaper)</t>
  </si>
  <si>
    <t>DD-2</t>
  </si>
  <si>
    <t>Cash Receipts from Grants Testwork (Standard Workpaper)</t>
  </si>
  <si>
    <t>DD-2-1</t>
  </si>
  <si>
    <t>Planning Worksheet to Determine Extent of Substantive Procedures - Cash Receipts</t>
  </si>
  <si>
    <t>DD-2-2</t>
  </si>
  <si>
    <t>DD-3</t>
  </si>
  <si>
    <t>Dual Purpose Internal Control and Compliance Testwork - Grant Disbursements</t>
  </si>
  <si>
    <t>Only if NO Single Audit and Yellowbook Only</t>
  </si>
  <si>
    <t>compliance test — UG/CFR-version specific</t>
  </si>
  <si>
    <t>DD-3-1</t>
  </si>
  <si>
    <t>Planning Worksheet to Determine Extent of Substantive Procedures - Disbursements from Grants</t>
  </si>
  <si>
    <t>DD-3-2</t>
  </si>
  <si>
    <t>DD-4</t>
  </si>
  <si>
    <t>Reporting Testwork (Standard Workpaper)</t>
  </si>
  <si>
    <t>DD-5</t>
  </si>
  <si>
    <t>Indirect Cost Agreement (if applicable)</t>
  </si>
  <si>
    <t>DD-5-1</t>
  </si>
  <si>
    <t>IDC Testwork (if applicable)</t>
  </si>
  <si>
    <t>FF-LEAD</t>
  </si>
  <si>
    <t>FF Section</t>
  </si>
  <si>
    <t>Deferred Inflows and Deferred Outflows of Resources Section</t>
  </si>
  <si>
    <t>Deferred Inflows and Deferred Outflows of Resources Leadsheet</t>
  </si>
  <si>
    <t>FF-1</t>
  </si>
  <si>
    <t>Deferred Inflows of Resources Analysis/Testwork</t>
  </si>
  <si>
    <t>FF-2</t>
  </si>
  <si>
    <t>Deferred Outflows of Resources Analysis/Testwork</t>
  </si>
  <si>
    <t>SS-LEAD</t>
  </si>
  <si>
    <t>SS Section</t>
  </si>
  <si>
    <t>Equity Section</t>
  </si>
  <si>
    <t>Equity Leadsheet - Opinion Unit #1 (Governmental Activities)</t>
  </si>
  <si>
    <t>SS-LEAD-1</t>
  </si>
  <si>
    <t>Equity Leadsheet - Opinion Unit #2</t>
  </si>
  <si>
    <t>SS-LEAD-2</t>
  </si>
  <si>
    <t>Equity Leadsheet - Opinion Unit #3</t>
  </si>
  <si>
    <t>SS-LEAD-3</t>
  </si>
  <si>
    <t>Equity Leadsheet - Opinion Unit #4</t>
  </si>
  <si>
    <t>SS-PROG</t>
  </si>
  <si>
    <t>Audit Program for Equity and Financial Statement Reconciliations</t>
  </si>
  <si>
    <t>ALG-AP-140</t>
  </si>
  <si>
    <t>SS-1</t>
  </si>
  <si>
    <t>Equity Classification Analysis Workpaper</t>
  </si>
  <si>
    <t>classification analysis — methodology + standard</t>
  </si>
  <si>
    <t>10-LEAD</t>
  </si>
  <si>
    <t>10 Section</t>
  </si>
  <si>
    <t>Revenues Section</t>
  </si>
  <si>
    <t>Revenues Leadsheet - Opinion Unit #1</t>
  </si>
  <si>
    <t>10-LEAD-1</t>
  </si>
  <si>
    <t>Revenues Leadsheet - Opinion Unit #2</t>
  </si>
  <si>
    <t>10-LEAD-2</t>
  </si>
  <si>
    <t>Revenues Leadsheet - Opinion Unit #3</t>
  </si>
  <si>
    <t>10-LEAD-3</t>
  </si>
  <si>
    <t>Revenues Leadsheet - Opinion Unit #4</t>
  </si>
  <si>
    <t>10-2</t>
  </si>
  <si>
    <t>Revenue Analytical Testwork - Opinion Unit #1</t>
  </si>
  <si>
    <t>10-2-1</t>
  </si>
  <si>
    <t>Revenue Analytical Testwork - Opinion Unit #2</t>
  </si>
  <si>
    <t>10-2-2</t>
  </si>
  <si>
    <t>Revenue Analytical Testwork - Opinion Unit #3</t>
  </si>
  <si>
    <t>10-2-3</t>
  </si>
  <si>
    <t>Revenue Analytical Testwork - Opinion Unit #4</t>
  </si>
  <si>
    <t>10-3</t>
  </si>
  <si>
    <t>Revenue Budget vs Actual Analysis</t>
  </si>
  <si>
    <t>budget vs actual — format stable</t>
  </si>
  <si>
    <t>10-4</t>
  </si>
  <si>
    <t>Other revenue analytical testwork (e.g. tenant revenue analysis, patient service revenue/billing analysis)</t>
  </si>
  <si>
    <t>10-4-1</t>
  </si>
  <si>
    <t>Planning Worksheet to Determine the Extent of Substantive Procedures</t>
  </si>
  <si>
    <t>Note: If revenue transactions for a particular revenue stream has many transactions (e.g. greater than 250)</t>
  </si>
  <si>
    <t>10-4-2</t>
  </si>
  <si>
    <t>Sample Planning and Evaluation Form - Substantive Procedures</t>
  </si>
  <si>
    <t xml:space="preserve">consider sampling utilizing the substantive procedures forms </t>
  </si>
  <si>
    <t>30-LEAD</t>
  </si>
  <si>
    <t>30 Section</t>
  </si>
  <si>
    <t>Expenses Section</t>
  </si>
  <si>
    <t>Expenses Leadsheet - Opinion Unit #1</t>
  </si>
  <si>
    <t>30-LEAD-1</t>
  </si>
  <si>
    <t>Expenses Leadsheet - Opinion Unit #2</t>
  </si>
  <si>
    <t>30-LEAD-2</t>
  </si>
  <si>
    <t>Expenses Leadsheet - Opinion Unit #3</t>
  </si>
  <si>
    <t>30-LEAD-3</t>
  </si>
  <si>
    <t>Expenses Leadsheet - Opinion Unit #4</t>
  </si>
  <si>
    <t>30-2</t>
  </si>
  <si>
    <t>Expenses Analytical Testwork - Opinion Unit #1</t>
  </si>
  <si>
    <t>30-2-1</t>
  </si>
  <si>
    <t>Expenses Analytical Testwork - Opinion Unit #2</t>
  </si>
  <si>
    <t>30-2-2</t>
  </si>
  <si>
    <t>Expenses Analytical Testwork - Opinion Unit #3</t>
  </si>
  <si>
    <t>30-2-3</t>
  </si>
  <si>
    <t>Expenses Analytical Testwork - Opinion Unit #4</t>
  </si>
  <si>
    <t>30-3</t>
  </si>
  <si>
    <t>Payroll and Related Expenditures Leadsheet</t>
  </si>
  <si>
    <t>30-3-1</t>
  </si>
  <si>
    <t>Payroll Expenses Analytical Testwork</t>
  </si>
  <si>
    <t>30-4</t>
  </si>
  <si>
    <t>Expenditures Budget vs Actual Analysis</t>
  </si>
  <si>
    <t>70-LEAD</t>
  </si>
  <si>
    <t>70 Section</t>
  </si>
  <si>
    <t>Transfers In and Transfers Out Section</t>
  </si>
  <si>
    <t>Transfers In and Transfers Out Leadsheet</t>
  </si>
  <si>
    <t>70-1</t>
  </si>
  <si>
    <t>Transfers In and Transfers Out Testwork (Standard Workpaper)</t>
  </si>
  <si>
    <t>SA-PROG</t>
  </si>
  <si>
    <t>Audit Program for Federal Award Programs - General Procedures</t>
  </si>
  <si>
    <t>ALG-AP-30</t>
  </si>
  <si>
    <t>SA-PROG-1</t>
  </si>
  <si>
    <t>Audit Program for the Schedule of Expenditures of Federal Awards</t>
  </si>
  <si>
    <t>ALG-AP-180</t>
  </si>
  <si>
    <t>SEFA — federal program list shifts annually</t>
  </si>
  <si>
    <t>SA-PROG-2</t>
  </si>
  <si>
    <t>Audit Program for Federal Award Programs Not Included in the Compliance Supplement (if applicable)</t>
  </si>
  <si>
    <t>ALG-AP-190</t>
  </si>
  <si>
    <t>Note: If federal major program is not included in the compliance supplement refer to</t>
  </si>
  <si>
    <t>SA-FN</t>
  </si>
  <si>
    <t>Final SEFA (to be included in the audited financial statements)</t>
  </si>
  <si>
    <t xml:space="preserve">Part 7 of the OMB compliance supplement. If it is a HUD program not included in the </t>
  </si>
  <si>
    <t>SA-FN-1</t>
  </si>
  <si>
    <t>Footnotes to the Final SEFA (to be included in the audited financial Statements)</t>
  </si>
  <si>
    <t>compliance supplement, also refer to HUD's Consolidated</t>
  </si>
  <si>
    <t>SA-1</t>
  </si>
  <si>
    <t>Disclosure Checklist for the Schedule of Expenditures of Federal Awards</t>
  </si>
  <si>
    <t>ALG-CX-13.4</t>
  </si>
  <si>
    <t>Audit Guide for compliance requirements.</t>
  </si>
  <si>
    <t>OMB Compliance Supplement</t>
  </si>
  <si>
    <t>Public Doc</t>
  </si>
  <si>
    <t>SA-2</t>
  </si>
  <si>
    <t>Data Collection Form - PY #1</t>
  </si>
  <si>
    <t>DCF — UG-version specific</t>
  </si>
  <si>
    <t>SA-2-1</t>
  </si>
  <si>
    <t>Data Collection Form - PY #2</t>
  </si>
  <si>
    <t>SA-2-2</t>
  </si>
  <si>
    <t>Data Collection Form - Current Year</t>
  </si>
  <si>
    <t>SA-3</t>
  </si>
  <si>
    <t>SEFA (Client Prepared)</t>
  </si>
  <si>
    <t>SA-3-1</t>
  </si>
  <si>
    <t>Clusters Listing from OMB Compliance Supplement</t>
  </si>
  <si>
    <t>SA-3-2</t>
  </si>
  <si>
    <t>Assistance Listing Numbers (ALN) Testwork</t>
  </si>
  <si>
    <t>SA-3-3</t>
  </si>
  <si>
    <t>SEFA- By Grant - Government Programs</t>
  </si>
  <si>
    <t>PPC SA Tool Generated</t>
  </si>
  <si>
    <t>SA-3-4</t>
  </si>
  <si>
    <t xml:space="preserve">SEFA - By Program - Government Programs </t>
  </si>
  <si>
    <t>SA-3-5</t>
  </si>
  <si>
    <t>Current Year SEFA vs PY SEFA Comparison Analytical</t>
  </si>
  <si>
    <t>SA-4</t>
  </si>
  <si>
    <t>Single Audit and Major Program Determination Worksheet</t>
  </si>
  <si>
    <t>ALG-CX-1.5</t>
  </si>
  <si>
    <t>Major program / Type A-B — UG floor changes</t>
  </si>
  <si>
    <t>SA-5</t>
  </si>
  <si>
    <t>Low-Risk Federal Program Determination Worksheet (if applicable)</t>
  </si>
  <si>
    <t>ALG-CX-1.6</t>
  </si>
  <si>
    <t>Federal program risk determination — UG threshold</t>
  </si>
  <si>
    <t>SA-5-1</t>
  </si>
  <si>
    <t>High-Risk Federal Program Determination Worksheet (if applicable)</t>
  </si>
  <si>
    <t>ALG-CX-1.7</t>
  </si>
  <si>
    <t>SA-6</t>
  </si>
  <si>
    <t>Planning Materiality - Federal Award Programs</t>
  </si>
  <si>
    <t>ALG-CX-2.2</t>
  </si>
  <si>
    <t>SA-100-PROG</t>
  </si>
  <si>
    <t>SA 100 Section</t>
  </si>
  <si>
    <t>Major Program #1 Section</t>
  </si>
  <si>
    <t>Single Audit Program - Major Program #1</t>
  </si>
  <si>
    <t>SA-100</t>
  </si>
  <si>
    <t>Major Program #1 Grant Agreement and Modifications</t>
  </si>
  <si>
    <t>SA-100-1</t>
  </si>
  <si>
    <t>Major Program #1 Budget Approved by Granting Agency</t>
  </si>
  <si>
    <t>SA-100-2</t>
  </si>
  <si>
    <t>Major Program #1 Grant Proposal Approved by Granting Agency</t>
  </si>
  <si>
    <t>SA-100-3</t>
  </si>
  <si>
    <t>Federal Agency Monitoring Reports (if applicable)</t>
  </si>
  <si>
    <t xml:space="preserve">Note: HUD performs monitoring reviews frequently (especially SWONAP for Tribal Housing Entities). </t>
  </si>
  <si>
    <t>Major Program section — UG threshold-driven (section default)</t>
  </si>
  <si>
    <t>SA-101</t>
  </si>
  <si>
    <t>Major Program #1 Compliance Supplement</t>
  </si>
  <si>
    <t>Make sure we perform the following for all major programs:</t>
  </si>
  <si>
    <t>SA-102</t>
  </si>
  <si>
    <t>Risk of Material Noncompliance Assessment Worksheet - Federal Award Programs</t>
  </si>
  <si>
    <t>ALG-CX-7.3</t>
  </si>
  <si>
    <t>1) Request the latest monitoring report including any final monitoring reports</t>
  </si>
  <si>
    <t>SA-103</t>
  </si>
  <si>
    <t>Inherent Risk of Noncompliance Assessment Form - Federal Award Programs</t>
  </si>
  <si>
    <t>ALG-CX-7.4</t>
  </si>
  <si>
    <t>2) Determine if the findings pertain the major program we are auditing</t>
  </si>
  <si>
    <t>SA-104</t>
  </si>
  <si>
    <t>System of Internal Control Matrix - Activities Allowed and Unallowed</t>
  </si>
  <si>
    <t>ALG-CX-4.5</t>
  </si>
  <si>
    <t>3) Ensure we follow-up on findings that pertain to the major program we are auditing</t>
  </si>
  <si>
    <t>SA-104-1</t>
  </si>
  <si>
    <t>System of Internal Control Matrix - Allowable Cost/Cost Principles (if applicable)</t>
  </si>
  <si>
    <t xml:space="preserve">4) For other findings - determine impact on our Risk Assessement </t>
  </si>
  <si>
    <t>SA-104-2</t>
  </si>
  <si>
    <t>System of Internal Control Matrix - Cash Management (if applicable)</t>
  </si>
  <si>
    <t>SA-104-3</t>
  </si>
  <si>
    <t>System of Internal Control Matrix - Eligibility (if applicable)</t>
  </si>
  <si>
    <t>SA-104-4</t>
  </si>
  <si>
    <t>System of Internal Control Matrix - Equipment and Real Property Management (if applicable)</t>
  </si>
  <si>
    <t>SA-104-5</t>
  </si>
  <si>
    <t>System of Internal Control Matrix - Matching, Level of Effort, Earmarking (if applicable)</t>
  </si>
  <si>
    <t>SA-104-6</t>
  </si>
  <si>
    <t>System of Internal Control Matrix - Period of Availability (if applicable)</t>
  </si>
  <si>
    <t>SA-104-7</t>
  </si>
  <si>
    <t>System of Internal Control Matrix - Procurement and Suspension and Debarment (if applicable)</t>
  </si>
  <si>
    <t>S&amp;D — $25k UG threshold</t>
  </si>
  <si>
    <t>SA-104-8</t>
  </si>
  <si>
    <t>System of Internal Control Matrix - Program Income (if applicable)</t>
  </si>
  <si>
    <t>SA-104-9</t>
  </si>
  <si>
    <t>System of Internal Control Matrix - Reporting (if applicable)</t>
  </si>
  <si>
    <t>SA-104-10</t>
  </si>
  <si>
    <t>System of Internal Control Matrix - Subrecipient Monitoring (if applicable)</t>
  </si>
  <si>
    <t>SA-104-11</t>
  </si>
  <si>
    <t>System of Internal Control Matrix - Special Tests and Provisions (if applicable)</t>
  </si>
  <si>
    <t>SA-105</t>
  </si>
  <si>
    <t>Internal Control Understanding Memo - Activities Allowable and Unallowed</t>
  </si>
  <si>
    <t>SA-105-1</t>
  </si>
  <si>
    <t>Internal Control Understanding Memo - Allowable Cost/Cost Principals</t>
  </si>
  <si>
    <t>SA-105-2</t>
  </si>
  <si>
    <t>Internal Control Understanding Memo - Cash Management (if applicable)</t>
  </si>
  <si>
    <t>SA-105-3</t>
  </si>
  <si>
    <t>Internal Control Understanding Memo - Eligibility (if applicable)</t>
  </si>
  <si>
    <t>SA-105-4</t>
  </si>
  <si>
    <t>Internal Control Understanding Memo - Equipment and Real Property Management (if applicable)</t>
  </si>
  <si>
    <t>SA-105-5</t>
  </si>
  <si>
    <t>Internal Control Understanding Memo - Matching, Level of Effort, Earmarking (if applicable)</t>
  </si>
  <si>
    <t>SA-105-6</t>
  </si>
  <si>
    <t>Internal Control Understanding Memo - Period of Availability (if applicable)</t>
  </si>
  <si>
    <t>SA-105-7</t>
  </si>
  <si>
    <t>Internal Control Understanding Memo - Procurement and Suspension and Debarment (if applicable)</t>
  </si>
  <si>
    <t>SA-105-8</t>
  </si>
  <si>
    <t>Internal Control Understanding Memo - Program Income (if applicable)</t>
  </si>
  <si>
    <t>SA-105-9</t>
  </si>
  <si>
    <t>Internal Control Understanding Memo - Reporting  (if applicable)</t>
  </si>
  <si>
    <t>SA-105-10</t>
  </si>
  <si>
    <t>Internal Control Understanding Memo - Subrecipient Monitoring (if applicable)</t>
  </si>
  <si>
    <t>SA-105-11</t>
  </si>
  <si>
    <t>Internal Control Understanding Memo - Special Tests and Provisions (if applicable)</t>
  </si>
  <si>
    <t>SA-106</t>
  </si>
  <si>
    <t>Test of Controls - Sampling Form for Federal Award Programs - General Disbursements</t>
  </si>
  <si>
    <t>ALG-CX-10.3</t>
  </si>
  <si>
    <t>Addresses Activities Allowed and Unallowed, Allowable Cost/Cost Principles, Equipment and Real Property Management, Period of Availability, and Procurement Suspension and Debarment</t>
  </si>
  <si>
    <t>SA-106-1</t>
  </si>
  <si>
    <t>Test of Controls - Sampling Form for Federal Award Programs - Payroll Disbursements</t>
  </si>
  <si>
    <t>SA-106-2</t>
  </si>
  <si>
    <t>Test of Controls - Sampling Form for Federal Award Programs - Cash Management (if applicable)</t>
  </si>
  <si>
    <t>SA-106-3</t>
  </si>
  <si>
    <t>Test of Controls - Sampling Form for Federal Award Programs - Eligibility (if applicable)</t>
  </si>
  <si>
    <t>SA-106-4</t>
  </si>
  <si>
    <t>Test of Controls - Sampling Form for Federal Award Programs - Matching, Level of Effort, Earmarking (if applicable)</t>
  </si>
  <si>
    <t>SA-106-5</t>
  </si>
  <si>
    <t>Test of Controls - Sampling Form for Federal Award Programs - Program Income (if applicable)</t>
  </si>
  <si>
    <t>SA-106-6</t>
  </si>
  <si>
    <t>Test of Controls - Sampling Form for Federal Award Programs - Reporting (if applicable)</t>
  </si>
  <si>
    <t>SA-106-7</t>
  </si>
  <si>
    <t>Test of Controls - Sampling Form for Federal Award Programs - Subrecipient Monitoring (if applicable)</t>
  </si>
  <si>
    <t>SA-106-8</t>
  </si>
  <si>
    <t>Test of Controls - Sampling Form for Federal Award Programs - Special Tests and Provisions (if applicable)</t>
  </si>
  <si>
    <t>SA-107</t>
  </si>
  <si>
    <t>Planning Worksheet to Determine Extent of Substantive Procedures - Federal Award Programs  - General and Payroll Disbursements</t>
  </si>
  <si>
    <t>ALG-CX-8.4</t>
  </si>
  <si>
    <t>Addresses Activities Allowed and Unallowed, Allowable Cost/Cost Principles, Equipment and Real Property Management, Period of Performance, and Procurement Suspension and Debarment</t>
  </si>
  <si>
    <t>SA-107-1</t>
  </si>
  <si>
    <t>Test of Compliance - Sample Planning and Evaluation Form for Federal Award Programs - General and Payroll Disbursements</t>
  </si>
  <si>
    <t>ALG-CX-8.5</t>
  </si>
  <si>
    <t>SA-107-2</t>
  </si>
  <si>
    <t>Test of Compliance - Sample Planning and Evaluation Form for Federal Award Programs - Cash Management (if applicable)</t>
  </si>
  <si>
    <t>SA-107-3</t>
  </si>
  <si>
    <t>Test of Compliance - Sample Planning and Evaluation Form for Federal Award Programs - Eligibility (if applicable)</t>
  </si>
  <si>
    <t>SA-107-4</t>
  </si>
  <si>
    <t>Test of Compliance - Sample Planning and Evaluation Form for Federal Award Programs - Matching, Level of Effort, Earmarking (if applicable)</t>
  </si>
  <si>
    <t>SA-107-5</t>
  </si>
  <si>
    <t>Test of Compliance - Sample Planning and Evaluation Form for Federal Award Programs - Program Income (if applicable)</t>
  </si>
  <si>
    <t>SA-107-6</t>
  </si>
  <si>
    <t>Test of Compliance - Sample Planning and Evaluation Form for Federal Award Programs - Reporting (if applicable)</t>
  </si>
  <si>
    <t>SA-107-7</t>
  </si>
  <si>
    <t>Test of Compliance - Sample Planning and Evaluation Form for Federal Award Programs - Subrecipient Monitoring (if applicable)</t>
  </si>
  <si>
    <t>SA-107-8</t>
  </si>
  <si>
    <t>Test of Compliance - Sample Planning and Evaluation Form for Federal Award Programs - Special Tests and Provisions (if applicable)</t>
  </si>
  <si>
    <t>SA-108</t>
  </si>
  <si>
    <t>Expenditure GL Detail Population - Major Program #1</t>
  </si>
  <si>
    <t>SA-108-1</t>
  </si>
  <si>
    <t>General Disbursements Expenditure GL Detail Population - Major Program #1</t>
  </si>
  <si>
    <t>SA-108-2</t>
  </si>
  <si>
    <t>Payroll Disbursements Expenditure GL Detail Population - Major Program #1</t>
  </si>
  <si>
    <t>SA-108-3</t>
  </si>
  <si>
    <t>Cash Management Population - Major Program #1</t>
  </si>
  <si>
    <t>SA-108-4</t>
  </si>
  <si>
    <t>Eligibility Population - Major Program #1</t>
  </si>
  <si>
    <t>SA-108-5</t>
  </si>
  <si>
    <t>Matching, Level of Effort, Earmarking - Major Program #1</t>
  </si>
  <si>
    <t>SA-108-6</t>
  </si>
  <si>
    <t>Program Income Population - Major Program #1</t>
  </si>
  <si>
    <t>SA-108-7</t>
  </si>
  <si>
    <t>Reporting Population - Major Program #1</t>
  </si>
  <si>
    <t>SA-108-8</t>
  </si>
  <si>
    <t>Subrecipient Population - Major Program #1</t>
  </si>
  <si>
    <t>SA-108-9</t>
  </si>
  <si>
    <t>Special Tests and Provisions Population - Major Program #1</t>
  </si>
  <si>
    <t>SA-109-1</t>
  </si>
  <si>
    <t>General Disbursements Expenditure GL Detail Sample - Major Program #1</t>
  </si>
  <si>
    <t>SA-109-2</t>
  </si>
  <si>
    <t>Payroll Disbursements Expenditure GL Detail Sample - Major Program #1</t>
  </si>
  <si>
    <t>SA-109-3</t>
  </si>
  <si>
    <t>Cash Management Sample - Major Program #1</t>
  </si>
  <si>
    <t>SA-109-4</t>
  </si>
  <si>
    <t>Eligibility Sample - Major Program #1</t>
  </si>
  <si>
    <t>SA-109-5</t>
  </si>
  <si>
    <t>SA-109-6</t>
  </si>
  <si>
    <t>Program Income Sample - Major Program #1</t>
  </si>
  <si>
    <t>SA-109-7</t>
  </si>
  <si>
    <t>Reporting Sample - Major Program #1</t>
  </si>
  <si>
    <t>SA-109-8</t>
  </si>
  <si>
    <t>Subrecipient Sample - Major Program #1</t>
  </si>
  <si>
    <t>SA-109-9</t>
  </si>
  <si>
    <t>Special Tests and Provisions Sample - Major Program #1</t>
  </si>
  <si>
    <t>SA-110</t>
  </si>
  <si>
    <t>Dual Purpose Testing - General Disbursements (standard workpaper)</t>
  </si>
  <si>
    <t>states purpose — methodology</t>
  </si>
  <si>
    <t>SA-110-1</t>
  </si>
  <si>
    <t>Dual Purpose Testing - Payroll Disbursements (standard workpaper)</t>
  </si>
  <si>
    <t>SA-110-2</t>
  </si>
  <si>
    <t>Control and Compliance Attributes Descriptions - General Disbursements and Payroll Disbursements (Standard Workpaper)</t>
  </si>
  <si>
    <t>SA-111</t>
  </si>
  <si>
    <t>Dual Purpose Testing - Cash Management (if applicable)</t>
  </si>
  <si>
    <t>SA-112</t>
  </si>
  <si>
    <t>Dual Purpose Testing - Eligibility</t>
  </si>
  <si>
    <t>SA-113</t>
  </si>
  <si>
    <t>Dual Purpose Testing - Matching, Level of Effort, Earmarking (if applicable)</t>
  </si>
  <si>
    <t>SA-114</t>
  </si>
  <si>
    <t>Dual Purpose Testing - Program Income (if applicable)</t>
  </si>
  <si>
    <t>SA-115</t>
  </si>
  <si>
    <t>Dual Purpose Testing - Reporting (if applicable)</t>
  </si>
  <si>
    <t>SA-115-1</t>
  </si>
  <si>
    <t>Copy of Required Federal Report #1 completed and filed by the client (e.g. HUD Indian Housing Plan) [if applicable]</t>
  </si>
  <si>
    <t>SA-115-2</t>
  </si>
  <si>
    <t>Copy of Required Federal Report #2 completed and filed by the client (e.g. HUD Annual Performance Report) [if applicable]</t>
  </si>
  <si>
    <t>SA-116</t>
  </si>
  <si>
    <t>Dual Purpose Testing - Subrecipient Monitoring (if applicable)</t>
  </si>
  <si>
    <t>SA-117</t>
  </si>
  <si>
    <t>Dual Purpose Testing - Special Tests and Provisions</t>
  </si>
  <si>
    <t>SA-118</t>
  </si>
  <si>
    <t>Internal Control Deficiency and Compliance Findings Listing - Major Program</t>
  </si>
  <si>
    <t>OC-PROG</t>
  </si>
  <si>
    <t>Audit Program of Other Compliance Section - Listing of compliance requirements and wp reference tested</t>
  </si>
  <si>
    <t>This will have to be developed based on understanding of requirements</t>
  </si>
  <si>
    <t>OC-1</t>
  </si>
  <si>
    <t>Understanding Memo of Compliance Requirements</t>
  </si>
  <si>
    <t xml:space="preserve"> of Other Compliance Testing necessary</t>
  </si>
  <si>
    <t>OC-2</t>
  </si>
  <si>
    <t>Other Compliance Planning Document #2 (as applicable)</t>
  </si>
  <si>
    <t>OC-3</t>
  </si>
  <si>
    <t>Other Compliance Planning Document #3 (as applicable)</t>
  </si>
  <si>
    <t>OC-100</t>
  </si>
  <si>
    <t>OC 100 Section</t>
  </si>
  <si>
    <t>Other Compliance Major Program #1</t>
  </si>
  <si>
    <t>Other Compliance Program #1 - Grant Agreement</t>
  </si>
  <si>
    <t>OC-100-1</t>
  </si>
  <si>
    <t>Other Compliance Program #1 - Budget, Proposal, etc</t>
  </si>
  <si>
    <t>OC-101</t>
  </si>
  <si>
    <t>Other Compliance Program #1 - Population for Requirement #1 (e.g. cash receipts, expenses, etc)</t>
  </si>
  <si>
    <t>OC-101-1</t>
  </si>
  <si>
    <t>Other Compliance Program #1 - Population for Requirement #2 (e.g. cash receipts, expenses, etc)</t>
  </si>
  <si>
    <t>OC-101-2</t>
  </si>
  <si>
    <t>Other Compliance Program #1 - Population for Requirement #3 (e.g. cash receipts, expenses, etc)</t>
  </si>
  <si>
    <t>OC-102</t>
  </si>
  <si>
    <t>Test of Controls - Sampling Form for Federal Award Programs - Compliance Requirement #1</t>
  </si>
  <si>
    <t>NPO-CX-10.3</t>
  </si>
  <si>
    <t xml:space="preserve">Add note that this was adapted for Other Compliance Requirements </t>
  </si>
  <si>
    <t>OC-102-1</t>
  </si>
  <si>
    <t>Test of Controls - Sampling Form for Federal Award Programs - Compliance Requirement #2</t>
  </si>
  <si>
    <t>OC-102-2</t>
  </si>
  <si>
    <t>Test of Controls - Sampling Form for Federal Award Programs - Compliance Requirement #3</t>
  </si>
  <si>
    <t>OC-103</t>
  </si>
  <si>
    <t>NPO-CX-8.4</t>
  </si>
  <si>
    <t>OC-103-1</t>
  </si>
  <si>
    <t>NPO-CX-8.5</t>
  </si>
  <si>
    <t>OC-103-2</t>
  </si>
  <si>
    <t>OC-103-3</t>
  </si>
  <si>
    <t>OC-104</t>
  </si>
  <si>
    <t>Other Compliance Program #1 - Sample - Requirement #1</t>
  </si>
  <si>
    <t>OC-104-1</t>
  </si>
  <si>
    <t>Other Compliance Program #1 - Sample - Requirement #2</t>
  </si>
  <si>
    <t>OC-104-2</t>
  </si>
  <si>
    <t>Other Compliance Program #1 - Sample - Requirement #3</t>
  </si>
  <si>
    <t>OC-105</t>
  </si>
  <si>
    <t>Other Compliance Testwork - Requirement #1</t>
  </si>
  <si>
    <t>OC-105-1</t>
  </si>
  <si>
    <t>Other Compliance Testwork - Requirement #2</t>
  </si>
  <si>
    <t>OC-105-2</t>
  </si>
  <si>
    <t>Other Compliance Testwork - Requirement #3</t>
  </si>
  <si>
    <t>OC-106</t>
  </si>
  <si>
    <t>Internal Control Deficiency and Compliance Findings Listing - Other Compliance Program #1</t>
  </si>
  <si>
    <t>PF-A-1</t>
  </si>
  <si>
    <t>Permanent File</t>
  </si>
  <si>
    <t>Government Founding Documents, Laws and Ordinances</t>
  </si>
  <si>
    <t>Any</t>
  </si>
  <si>
    <t>PF-A section is for Government Founding Documents</t>
  </si>
  <si>
    <t>Permanent File source doc — stable client reference (section default)</t>
  </si>
  <si>
    <t>PF-A-2</t>
  </si>
  <si>
    <t>PF-A-3</t>
  </si>
  <si>
    <t>PF-B-1</t>
  </si>
  <si>
    <t>Client Organization Chart</t>
  </si>
  <si>
    <t>PF-B section is for client organization documents and policies and procedures</t>
  </si>
  <si>
    <t>PF-B-2</t>
  </si>
  <si>
    <t>Client Accounting System Chart of Accounts</t>
  </si>
  <si>
    <t>PF-B-3</t>
  </si>
  <si>
    <t>Client Retirement Plan Adoption Agreement</t>
  </si>
  <si>
    <t>PF-B-4</t>
  </si>
  <si>
    <t>Client Financial Accounting Policies and Procedures</t>
  </si>
  <si>
    <t>PF-B-4-1</t>
  </si>
  <si>
    <t>Client Financial Accounting Policies and Procedures Document #2</t>
  </si>
  <si>
    <t>PF-B-5</t>
  </si>
  <si>
    <t>Client Personnel Policies and Procedures</t>
  </si>
  <si>
    <t>PF-B-5-1</t>
  </si>
  <si>
    <t>Client Personnel Policies and Procedures Document #2</t>
  </si>
  <si>
    <t>PF-B-6</t>
  </si>
  <si>
    <t>Client IT Policies and Procedures</t>
  </si>
  <si>
    <t>PF-B-6-1</t>
  </si>
  <si>
    <t>Client IT Policies and Procedures Document #2</t>
  </si>
  <si>
    <t>PF-B-7</t>
  </si>
  <si>
    <t>Client Other Policies and Procedures</t>
  </si>
  <si>
    <t>PF-C-1</t>
  </si>
  <si>
    <t>Significant Grant, Contract and Agreements #1</t>
  </si>
  <si>
    <t>PF-C section is for Significant Grants and Revenue Contracts</t>
  </si>
  <si>
    <t>PF-C-2</t>
  </si>
  <si>
    <t>Significant Grant, Contract and Agreements #2</t>
  </si>
  <si>
    <t>PF-D-1</t>
  </si>
  <si>
    <t>Significant Vendor Contract or Lease Agreement #1</t>
  </si>
  <si>
    <t>PF-D section is for Significant Vendor Contracts and Lease Agreements</t>
  </si>
  <si>
    <t>PF-D-2</t>
  </si>
  <si>
    <t>PF-E-1</t>
  </si>
  <si>
    <t>Prior Year Audited Financial Statements - PY #1</t>
  </si>
  <si>
    <t>PF-E section is for Prior Year Audit Reports</t>
  </si>
  <si>
    <t>PF-E-2</t>
  </si>
  <si>
    <t>Prior Year Audited Financial Statements - PY #2</t>
  </si>
  <si>
    <t>PF-E-3</t>
  </si>
  <si>
    <t>Prior Year Audited Financial Statements - PY #3</t>
  </si>
  <si>
    <t>PF-E-4</t>
  </si>
  <si>
    <t>Prior Year Audited Financial Statements - PY #4</t>
  </si>
  <si>
    <t>PF-E-5</t>
  </si>
  <si>
    <t>Prior Year Audited Financial Statements - PY #5</t>
  </si>
  <si>
    <t>PF-G-1</t>
  </si>
  <si>
    <t>Accounting and Audit Research Document #1</t>
  </si>
  <si>
    <t>PF-G section is for accounting and auditing research documents</t>
  </si>
  <si>
    <t>PF-G-2</t>
  </si>
  <si>
    <t>Accounting and Audit Research Document #2</t>
  </si>
  <si>
    <t>SOP</t>
  </si>
  <si>
    <t>Mapping</t>
  </si>
  <si>
    <t>SOP prepared</t>
  </si>
  <si>
    <t>Reporting</t>
  </si>
  <si>
    <t>Financial Statement and Deliverables Review</t>
  </si>
  <si>
    <t>Needed</t>
  </si>
  <si>
    <t>NPO-AP-20</t>
  </si>
  <si>
    <t xml:space="preserve">Additional General Auditing and Completion Procedures for an Initial Audit </t>
  </si>
  <si>
    <t>NPO-IA-20</t>
  </si>
  <si>
    <t>Final Stage</t>
  </si>
  <si>
    <t>Disclosure Checklist</t>
  </si>
  <si>
    <t>NPO-CX-13</t>
  </si>
  <si>
    <t>Management Letters</t>
  </si>
  <si>
    <t>NA</t>
  </si>
  <si>
    <t>NPO-CL-3.1</t>
  </si>
  <si>
    <t>Planning Stage</t>
  </si>
  <si>
    <t>Information Gathering</t>
  </si>
  <si>
    <t>Exit Conference</t>
  </si>
  <si>
    <t>NPO-CL-5.2</t>
  </si>
  <si>
    <t>PPT</t>
  </si>
  <si>
    <t>Evidence Evaluation</t>
  </si>
  <si>
    <t>Analytics</t>
  </si>
  <si>
    <t>Final Analytical Procedures</t>
  </si>
  <si>
    <t>NPO-CX-3.6</t>
  </si>
  <si>
    <t>NPO-CX-14</t>
  </si>
  <si>
    <t>Financial Statement Review</t>
  </si>
  <si>
    <t>Audit Findings</t>
  </si>
  <si>
    <t>NPO-CX-15.1</t>
  </si>
  <si>
    <t>NPO-CX-12.3</t>
  </si>
  <si>
    <t>Pre- Engagement Phase</t>
  </si>
  <si>
    <t xml:space="preserve">Risk Assessment </t>
  </si>
  <si>
    <t>Trial Balance - Final (Automatic CaseWare Document)</t>
  </si>
  <si>
    <t>Trial Balance Import File (client provided and formatted for import)</t>
  </si>
  <si>
    <t>Detailed Audit Procedures</t>
  </si>
  <si>
    <t>Testing procedures</t>
  </si>
  <si>
    <t xml:space="preserve">Audit Difference Evaluation Form </t>
  </si>
  <si>
    <t>NPO-CX-12.2</t>
  </si>
  <si>
    <t>Completion (Planning Stage)</t>
  </si>
  <si>
    <t>NPO-AP-10</t>
  </si>
  <si>
    <t>OK</t>
  </si>
  <si>
    <t>Engagement Independence Evaluation</t>
  </si>
  <si>
    <t>NPO-CX-1.1</t>
  </si>
  <si>
    <t>NPO-CX-1.3</t>
  </si>
  <si>
    <t>NPO-CX-1.4</t>
  </si>
  <si>
    <t>Engagement letter</t>
  </si>
  <si>
    <t>Engagement Letter (Client endorsed)</t>
  </si>
  <si>
    <t>PL-4-1</t>
  </si>
  <si>
    <t>Engagement Letter template</t>
  </si>
  <si>
    <t>Client Communication (Planning Stage)</t>
  </si>
  <si>
    <t>NPO-CX-5.1</t>
  </si>
  <si>
    <t>NPO-CX-3.1</t>
  </si>
  <si>
    <t>Listing of Board Members including contact information</t>
  </si>
  <si>
    <t>Checklist of Tax-Related Considerations in a Nonprofit Orgranization Audit</t>
  </si>
  <si>
    <t>NPO-CX-11.7</t>
  </si>
  <si>
    <t>checklist — standard procedure</t>
  </si>
  <si>
    <t>Internal Control and Risk Assessment</t>
  </si>
  <si>
    <t>NPO-CX-2.1</t>
  </si>
  <si>
    <t>NPO-AP-40</t>
  </si>
  <si>
    <t>Preliminary Analytical - (CaseWare Automatic Document)</t>
  </si>
  <si>
    <t>Client Communication (Pre-Engagement Phase)</t>
  </si>
  <si>
    <t>Client Questionnaires</t>
  </si>
  <si>
    <t>NPO-CX-4.1</t>
  </si>
  <si>
    <t>NPO-CX-4.2.1</t>
  </si>
  <si>
    <t>NPO-CX-4.2.2</t>
  </si>
  <si>
    <t>NPO-CX-4.2.3</t>
  </si>
  <si>
    <t>NPO-CX-5.2</t>
  </si>
  <si>
    <t>NPO-CX-5.3</t>
  </si>
  <si>
    <t>NPO-CX-5.4</t>
  </si>
  <si>
    <t>NPO-CX-5.5</t>
  </si>
  <si>
    <t>NPO-CX-5.6</t>
  </si>
  <si>
    <t>NPO-CX-5.7</t>
  </si>
  <si>
    <t>Control Activities Form for Support, Receivables, and Receipts</t>
  </si>
  <si>
    <t>NPO-CX-5.9</t>
  </si>
  <si>
    <t>Control Activities Form for Expenses for Program and Supporting Services and Accounts Payable and Other Liabilities</t>
  </si>
  <si>
    <t>NPO-CX-5.12</t>
  </si>
  <si>
    <t>NPO-CX-5.13</t>
  </si>
  <si>
    <t>Control Activities Form for Net Assets</t>
  </si>
  <si>
    <t>NPO-CX-5.18</t>
  </si>
  <si>
    <t>NPO-CX-5.19</t>
  </si>
  <si>
    <t>IC-4-7</t>
  </si>
  <si>
    <t>Control Activities Form for Property and Equipment</t>
  </si>
  <si>
    <t>NPO-CX-5.15</t>
  </si>
  <si>
    <t>IC-4-8</t>
  </si>
  <si>
    <t>Control Activities Form for Donated Materials, Facilities, and Services</t>
  </si>
  <si>
    <t>NPO-CX-5.11</t>
  </si>
  <si>
    <t>IC-4-9</t>
  </si>
  <si>
    <t>Control Activities Form Debt and Other Liabilities</t>
  </si>
  <si>
    <t>NPO-CX-5.17</t>
  </si>
  <si>
    <t>IC-4-10</t>
  </si>
  <si>
    <t>Control Activities Form Program Service Fees, Revenue and Receivables</t>
  </si>
  <si>
    <t>NPO-CX-5.10</t>
  </si>
  <si>
    <t>IC-4-11</t>
  </si>
  <si>
    <t>Control Activities Form Investments and Derivatives</t>
  </si>
  <si>
    <t>NPO-CX-5.8</t>
  </si>
  <si>
    <t>IC-4-12</t>
  </si>
  <si>
    <t>Control Activities Form for Other Assets</t>
  </si>
  <si>
    <t>NPO-CX-5.16</t>
  </si>
  <si>
    <t>IC-4-13</t>
  </si>
  <si>
    <t>Control Activities Form for Inventories</t>
  </si>
  <si>
    <t>NPO-CX-5.14</t>
  </si>
  <si>
    <t>Internal Control Memo - Financial Close and Reporting</t>
  </si>
  <si>
    <t>Internal Control Memo - Cash and Investments</t>
  </si>
  <si>
    <t>Internal Control Memo - Support, Receivables, Program Service Fees, and Receipts</t>
  </si>
  <si>
    <t>Internal Control Memo - Expenses for Program and Supporting Services and Accounts Payable and Other Liabilities</t>
  </si>
  <si>
    <t>Internal Control Memo - Net Assets</t>
  </si>
  <si>
    <t>IC-5-7</t>
  </si>
  <si>
    <t>Internal Control Memo - Property and Equipment</t>
  </si>
  <si>
    <t>IC-5-8</t>
  </si>
  <si>
    <t>Internal Control Memo - Debt and Other Liabilities</t>
  </si>
  <si>
    <t>Walkthrough Testing over Cash and Investments</t>
  </si>
  <si>
    <t>Walkthrough Testing over Support, Receivables, Program Service Fees, and Receipts</t>
  </si>
  <si>
    <t>Walkthrough Testing over Expenses for Program and Supporting Services and Accounts Payable and Other Liabilities</t>
  </si>
  <si>
    <t>Walkthrough Testing over Net Assets</t>
  </si>
  <si>
    <t>NPO-CX-4.4</t>
  </si>
  <si>
    <t>Ok</t>
  </si>
  <si>
    <t>NPO-CX-3.2</t>
  </si>
  <si>
    <t>NPO-CX-3.3</t>
  </si>
  <si>
    <t>Risk Assessment Summary Form</t>
  </si>
  <si>
    <t>NPO-CX-7.1</t>
  </si>
  <si>
    <t>Inherent Risk Assessment Summary Form</t>
  </si>
  <si>
    <t>NPO-CX-7.2</t>
  </si>
  <si>
    <t>Sample Planning and Selection</t>
  </si>
  <si>
    <t>Financial Statement Audit Scoping and Sampling Workpaper (standard workpaper)</t>
  </si>
  <si>
    <t>NPO-AP-50</t>
  </si>
  <si>
    <t>Documentation review</t>
  </si>
  <si>
    <t>Audit Program for Promises to Give</t>
  </si>
  <si>
    <t>NPO-AP-70</t>
  </si>
  <si>
    <t>Audit Program for Support</t>
  </si>
  <si>
    <t>NPO-AP-75</t>
  </si>
  <si>
    <t>Audit Program for Accounts Receivable</t>
  </si>
  <si>
    <t>NPO-AP-80</t>
  </si>
  <si>
    <t>B-PROG-2</t>
  </si>
  <si>
    <t>Audit Program for Program Service Fees and Other Revenue</t>
  </si>
  <si>
    <t>NPO-AP-85</t>
  </si>
  <si>
    <t>B-4</t>
  </si>
  <si>
    <t>AR Ratio Analytics (Standard Workpaper)</t>
  </si>
  <si>
    <t>B-5</t>
  </si>
  <si>
    <t>Other Accounts Receivable Testwork #1 (e.g. Medicare/Medical Reconcilation Testing)</t>
  </si>
  <si>
    <t>B-6</t>
  </si>
  <si>
    <t>Other Accounts Receivable Testwork #2</t>
  </si>
  <si>
    <t>Audit Program for Inventories and Cost of Sales</t>
  </si>
  <si>
    <t>NPO-AP-100</t>
  </si>
  <si>
    <t>C-4</t>
  </si>
  <si>
    <t>Inventory Rollback/Valuation Testing</t>
  </si>
  <si>
    <t>D-PROG-1</t>
  </si>
  <si>
    <t>Audit Program for Goodwill and Intangible Assets (if applicable)</t>
  </si>
  <si>
    <t>NPO-AP-121</t>
  </si>
  <si>
    <t>NPO-AP-60</t>
  </si>
  <si>
    <t>Detailed Investment Statements for all months for year under audit (needed for cash flow and rollforward)</t>
  </si>
  <si>
    <t>Request all monthly statements for year under audit</t>
  </si>
  <si>
    <t>Property and Equipment</t>
  </si>
  <si>
    <t>Property and Equipment Leadsheet</t>
  </si>
  <si>
    <t>Audit Program for Property and Equipment</t>
  </si>
  <si>
    <t>NPO-AP-110</t>
  </si>
  <si>
    <t>Property and Equipment Footnote Preparation Workpaper</t>
  </si>
  <si>
    <t>Property and Equipment Rollforward Testing (Standard Workpaper)</t>
  </si>
  <si>
    <t>Detailed Listing of Property and Equipment and Depreciation (PBC)</t>
  </si>
  <si>
    <t>Property and Equipment Additions Testwork (Standard Workpaper)</t>
  </si>
  <si>
    <t>NPO-CX-8.1</t>
  </si>
  <si>
    <t>NPO-CX-8.2</t>
  </si>
  <si>
    <t>Search for Unrecorded Property and Equipment (Review of Repairs and Maintenance) Testwork (Standard Workpaper)</t>
  </si>
  <si>
    <t>Property and Equipment  Disposal Testwork (Standard Testwork)</t>
  </si>
  <si>
    <t>ASC 842, Leases - Right-of-Use Assets Rollforward (Standard Workpaper)</t>
  </si>
  <si>
    <t>ASC standard citation — reg-version specific</t>
  </si>
  <si>
    <t>ASC 842 - Leases Testwork and Analysis</t>
  </si>
  <si>
    <t>Review of Lease Expenses for ASC 842 Application (Search for Unrecorded Right of Use Assets)</t>
  </si>
  <si>
    <t>Interfunds (Due To/Due From) Leadsheet (if applicable)</t>
  </si>
  <si>
    <t>Debt Section</t>
  </si>
  <si>
    <t>Debt Leadsheet</t>
  </si>
  <si>
    <t>Audit Program for Debt and Other Liabilities</t>
  </si>
  <si>
    <t>NPO-AP-140</t>
  </si>
  <si>
    <t>Debt Footnote Preparation Workpaper</t>
  </si>
  <si>
    <t>Debt Analytics Testwork (Standard Workpaper)</t>
  </si>
  <si>
    <t>ASC 842, Right-of-Use Lease Liability Analysis</t>
  </si>
  <si>
    <t>Audit Program for Expenses for Program and Supporting Services and Accounts Payable and Other Liabilities</t>
  </si>
  <si>
    <t>NPO-AP-130</t>
  </si>
  <si>
    <t>Audit Program for Payroll Liabilities and Related Expenses</t>
  </si>
  <si>
    <t>NPO-AP-131</t>
  </si>
  <si>
    <t>NPO-AP-160</t>
  </si>
  <si>
    <t>Grants Receivable/Unearned Grants (Deferred) Revenue Rollforward (Standard Workpaper)</t>
  </si>
  <si>
    <t>Audit Program for Net Assets</t>
  </si>
  <si>
    <t>NPO-AP-150</t>
  </si>
  <si>
    <t>Net Assets with Donor Restrictions Rollforward</t>
  </si>
  <si>
    <t>SS-2</t>
  </si>
  <si>
    <t>Net Assets with Donor Restrictions Additions Testwork</t>
  </si>
  <si>
    <t>SS-3</t>
  </si>
  <si>
    <t>Net Assets Released from Restriction Testwork</t>
  </si>
  <si>
    <t>Revenues and Support Leadsheet</t>
  </si>
  <si>
    <t>10-1</t>
  </si>
  <si>
    <t>Revenue Recognition and Classification Testwork</t>
  </si>
  <si>
    <t>Revenue Analytical Testwork</t>
  </si>
  <si>
    <t>Revenue - ASC 606 Contracts with Customers Testwork</t>
  </si>
  <si>
    <t>Contract with Customer Agreement #1</t>
  </si>
  <si>
    <t>Contract with Customer Agreement #2</t>
  </si>
  <si>
    <t>10-5</t>
  </si>
  <si>
    <t xml:space="preserve">Planning Worksheet to Determine Extent of Substantive Procedures </t>
  </si>
  <si>
    <t>Use this for testing transaction cycle with numerous transactions (e.g. Patient Service Billings or similar billings with greater than 200 transactions)</t>
  </si>
  <si>
    <t>10-5-1</t>
  </si>
  <si>
    <t>10-6</t>
  </si>
  <si>
    <t>Substantive Revenue Testwork (e.g. patient billings /revenues testwork)</t>
  </si>
  <si>
    <t>Expenses Leadsheet - By Function</t>
  </si>
  <si>
    <t>Expenses Leadsheet - By Natural Classification</t>
  </si>
  <si>
    <t>30-PROG</t>
  </si>
  <si>
    <t>Audit Program for Donated Materials, Facilities, and Equipment</t>
  </si>
  <si>
    <t>NPO-AP-90</t>
  </si>
  <si>
    <t>Expenses Analytical Testwork - By Natural Classification</t>
  </si>
  <si>
    <t>Statement of Functional Expenses (PBC) - Analytical</t>
  </si>
  <si>
    <t>30-5</t>
  </si>
  <si>
    <t xml:space="preserve">Donated Material, Facilities, and Services "in-kind" Schedule (PBC) </t>
  </si>
  <si>
    <t>30-5-1</t>
  </si>
  <si>
    <t>Donated Material, Facilities, and Services "in-kind" Testing</t>
  </si>
  <si>
    <t>30-5-2</t>
  </si>
  <si>
    <t>In-Kind Donation Letter - Donor #1 (PBC)</t>
  </si>
  <si>
    <t>30-5-3</t>
  </si>
  <si>
    <t>In-Kind Donation Letter - Donor #2 (PBC)</t>
  </si>
  <si>
    <t xml:space="preserve">PF </t>
  </si>
  <si>
    <t>Not For Profit Founding Documents - Articles of Incorporation</t>
  </si>
  <si>
    <t>Not For Profit Founding Documents - By Laws</t>
  </si>
  <si>
    <t>Not For Profit - IRS Determination Letter</t>
  </si>
  <si>
    <t>PF-A-4</t>
  </si>
  <si>
    <t>Not For Profit Founding Documents - State Statutes, Laws, and Ordinances</t>
  </si>
  <si>
    <t>PF-B-5-2</t>
  </si>
  <si>
    <t>Client Conflicts of Interest and Whistleblowing Policies and Procedures</t>
  </si>
  <si>
    <t>PF-H-1</t>
  </si>
  <si>
    <t>Client IRS Form 990 Filing - Current Year</t>
  </si>
  <si>
    <t>PF-H-2</t>
  </si>
  <si>
    <t>Client IRS Form 990 Filing - Prior Year #1</t>
  </si>
  <si>
    <t>PF-H-3</t>
  </si>
  <si>
    <t>Client IRS Form 990 Filing - Prior Year #2</t>
  </si>
  <si>
    <t>Client Evaluation and Acceptance</t>
  </si>
  <si>
    <t>Tools:</t>
  </si>
  <si>
    <t>PPC Checkpoint</t>
  </si>
  <si>
    <t>Identify potential client</t>
  </si>
  <si>
    <t>Select the appropriate EL template based on entity type.</t>
  </si>
  <si>
    <t>Assess firm personnel resources and determine engagement team.</t>
  </si>
  <si>
    <t>Conduct Client Kick-off Meeting via Zoom or at the client’s location.</t>
  </si>
  <si>
    <t>EL Bot</t>
  </si>
  <si>
    <t>Conduct internal discussions to determine engagement feasibility.</t>
  </si>
  <si>
    <t xml:space="preserve">Customize the letter via Caseview or EL bot </t>
  </si>
  <si>
    <t>Perform an independence check of engagement team before starting the audit. Done via checklist</t>
  </si>
  <si>
    <t>Introduce the Audit Team to the client.</t>
  </si>
  <si>
    <t>Monday.com</t>
  </si>
  <si>
    <t>Gather preliminary client information, including key risk factors such as cash flow issues, pending law suits.</t>
  </si>
  <si>
    <t>Define audit scope, responsibilities, and reporting framework.</t>
  </si>
  <si>
    <t>Document findings and approvals using the Engagement Independence Compliance form.</t>
  </si>
  <si>
    <t>Review Prior Year (PY) Report for reference.</t>
  </si>
  <si>
    <t>Suralink (E-signature)</t>
  </si>
  <si>
    <t>Evaluate the client’s background, industry, and risk profile.</t>
  </si>
  <si>
    <t>Confirm management’s responsibility for financial statements</t>
  </si>
  <si>
    <t>Review client relationships and past services to identify potential threats to independence.</t>
  </si>
  <si>
    <t>Discuss Audit Plan &amp; Timeline with client.</t>
  </si>
  <si>
    <t>Suralink</t>
  </si>
  <si>
    <t>Assess independence, potential conflicts, and compliance requirements. (Firm-wide analysis)</t>
  </si>
  <si>
    <t>Confirm  audit timelines, deliverables, and communication protocols.</t>
  </si>
  <si>
    <t>Assess nonattest services and evaluate their impact on independence.</t>
  </si>
  <si>
    <t>Discuss audit deliverables and expectations</t>
  </si>
  <si>
    <t>Prepare engagement proposal including cost determination</t>
  </si>
  <si>
    <t>Share the EL draft with the review team and obtain Engagement Partner approval EL for issuance to client.</t>
  </si>
  <si>
    <t>Obtain Engagement Partner approval for engagement team independence evaluation.</t>
  </si>
  <si>
    <t>Document the meeting in the Entrance Conference Memo.</t>
  </si>
  <si>
    <t>Obtain Engagement Partner approval for proposal</t>
  </si>
  <si>
    <t>Upon Engagement Partner approval send EL to the client via  email or Suralink e-signature.</t>
  </si>
  <si>
    <t xml:space="preserve">Complete PBC List </t>
  </si>
  <si>
    <t>S</t>
  </si>
  <si>
    <t>Submit proposal to potential client.</t>
  </si>
  <si>
    <t>Receive the signed EL from client management and document and place into Caseware Engagement file.</t>
  </si>
  <si>
    <t>Obtain Engagement Partner approval for PBC list</t>
  </si>
  <si>
    <t>Upload PBC list to Suralink and email to client</t>
  </si>
  <si>
    <t>Completion (Planning)</t>
  </si>
  <si>
    <t>Collect necessary documents from the client for audit planning.</t>
  </si>
  <si>
    <t>Distribute and collect Fraud risk and Related Party Questionnaires from the client.</t>
  </si>
  <si>
    <t>Document entity level controls</t>
  </si>
  <si>
    <t>Prepare Communications Letter to Those Charged with Governance During Planning form. (Required Communications)</t>
  </si>
  <si>
    <t>Determine areas for which sampling for substantive testing is required.</t>
  </si>
  <si>
    <t>Complete Planning Program</t>
  </si>
  <si>
    <t>PPC Smart practice Aids</t>
  </si>
  <si>
    <t>Obtain attorney details contact details, prepare, and send legal confirmation requests; review and document responses.</t>
  </si>
  <si>
    <t>Assess fraud risks based on  questionnaire responses.</t>
  </si>
  <si>
    <t>Document internal control processes for financial reporting, IT controls, and transaction processing.</t>
  </si>
  <si>
    <t>Obtain Engagement Partner approval of Planning Communications Letter.</t>
  </si>
  <si>
    <t>Determine populations for samples.</t>
  </si>
  <si>
    <t>Internal Questionnaires</t>
  </si>
  <si>
    <t>Obtain listing of Board/Governance Members and contact information</t>
  </si>
  <si>
    <t>Identify and evaluate related party transactions for potential conflicts or undisclosed relationships.</t>
  </si>
  <si>
    <t>Prepare Internal Control Memos and identify key internal controls over significant audit areas such as Disbursements, Payroll, Revenue, and Financial Close.</t>
  </si>
  <si>
    <t>Send planning communications letter to Goveranance and Management</t>
  </si>
  <si>
    <t xml:space="preserve">Plan samples sizes </t>
  </si>
  <si>
    <t>Confirmation.com</t>
  </si>
  <si>
    <t>Obtain listing of Management and Key Accounting Staff and contact information</t>
  </si>
  <si>
    <t>Cross-check responses with financial records and transaction details.</t>
  </si>
  <si>
    <t>Conduct internal control walkthroughs of key internal controls over the significant transaction cycles.</t>
  </si>
  <si>
    <t>Prepare confirmation letters to be sent to external parties (attorneys, accounts receivable, depository accounts, investment accounts, etc)</t>
  </si>
  <si>
    <t>Select samples</t>
  </si>
  <si>
    <t>Board Minutes - Review and analyze board meeting minutes to capture significant financial and operational decisions and events</t>
  </si>
  <si>
    <t>Assess and document litigation and contingent liabilities for financial and compliance impact.</t>
  </si>
  <si>
    <t>Complete Understanding and Evaluating the System of Internal Control form</t>
  </si>
  <si>
    <t>Provide confirmation letters to client for signature/authorization.</t>
  </si>
  <si>
    <t>Obtain Engagement Partner approval for sampling methodology and samples selected.</t>
  </si>
  <si>
    <t>Trial Balance Import - Import and map trial balance(s) received from client.</t>
  </si>
  <si>
    <t>Document findings and incorporate them into the overall risk assessment.</t>
  </si>
  <si>
    <t>Determine materiality thresholds by completing the Preliminary Materiality Worksheet.</t>
  </si>
  <si>
    <t>Prepare Confirmation Control Log documenting dates sent and received from external parties</t>
  </si>
  <si>
    <t>Send samples to client via email and upload to SURALINK.</t>
  </si>
  <si>
    <t>Current Year Payment Register - obtain and summarize FY 2025 check register by vendor. Select sample of significant and/or unusual vendors for fraud risk and related party testing.</t>
  </si>
  <si>
    <t xml:space="preserve">Perform a Preliminary Analytical Review to identify unusual trends and variances to assist with Risk Assessment and determining the nature, timing and extent of audit procedures to be performed. </t>
  </si>
  <si>
    <t>Receive confirmation letters back from client.</t>
  </si>
  <si>
    <t>Complete Inherent Risk Assessment (IR) through inherent risk assessment forms and fraud inquiries.</t>
  </si>
  <si>
    <t>Send confirmation letters to external parties.</t>
  </si>
  <si>
    <t>Complete Understanding the Entity and Identifying Risks form</t>
  </si>
  <si>
    <t>Determine if internal controls will be tested to support a planned level of control risk less than HIGH.</t>
  </si>
  <si>
    <t>Complete overall Risk Assessment (RMM) and complete Risk Assessment Summary Form.</t>
  </si>
  <si>
    <t>Obtain Engagement Partner approval for Risk Assessment.</t>
  </si>
  <si>
    <t>Prepare audit programs based on overall Risk Assessment</t>
  </si>
  <si>
    <t>Hold an engagement team discussion with team and ensure Engagement Partner is present.</t>
  </si>
  <si>
    <t>CaseWare</t>
  </si>
  <si>
    <t>PPC templates</t>
  </si>
  <si>
    <t>Gather and examine financial documents (invoices, receipts, contracts, agreements) for audit assertions like completeness and relevance.</t>
  </si>
  <si>
    <t>Prepare testwork (TW) files for key financial areas, including revenue, disbursements, payroll, and journal entries.</t>
  </si>
  <si>
    <t>Verify approvals and authorization for disbursements, payroll, and significant transactions.</t>
  </si>
  <si>
    <t>Assess internal controls by testing approvals, classifications, and compliance with policies.</t>
  </si>
  <si>
    <t>Identify missing or inconsistent documentation and request clarifications from the client.</t>
  </si>
  <si>
    <t>Perform substantive testing by selecting samples and verifying recorded transactions.</t>
  </si>
  <si>
    <t>Cross check with external confirmations (bank statements, AR and AP confirmation, legal contracts) to validate accuracy.</t>
  </si>
  <si>
    <t>Analyze trends and variances to detect potential misstatements.</t>
  </si>
  <si>
    <t xml:space="preserve">Maintain organized and well referenced audit documentation to support conclusions </t>
  </si>
  <si>
    <t>Fieldwork</t>
  </si>
  <si>
    <t>Team Collaboration</t>
  </si>
  <si>
    <t>Evidence Collection</t>
  </si>
  <si>
    <t>Schedule fieldwork and visit the client’s office to conduct on site audit procedures.</t>
  </si>
  <si>
    <t>Share Sample Sheet (Excel) with the client for document retrieval.</t>
  </si>
  <si>
    <t>Perform walkthroughs for key processes, including payroll, revenue, disbursements, and IT.</t>
  </si>
  <si>
    <t>Review available files for completeness.</t>
  </si>
  <si>
    <t>Review the Trial Balance to assess account balances and identify key audit areas.</t>
  </si>
  <si>
    <t>Request missing documents via Suralink</t>
  </si>
  <si>
    <t>Prepare the Planning Materiality Sheet to set thresholds for testing.</t>
  </si>
  <si>
    <t>Organize collected evidence on CaseWare for testing.</t>
  </si>
  <si>
    <t>Pull and share sample lists from the General Ledger with the client for document retrieval.</t>
  </si>
  <si>
    <t>Conduct on-site sample testing to verify accuracy and compliance.</t>
  </si>
  <si>
    <t>Risk Assessment (Re-evaluation)</t>
  </si>
  <si>
    <t>Perform analytical procedures to detect trends, patterns, and fluctuations.</t>
  </si>
  <si>
    <t>Reassess entity risks based on audit findings using the Risk Assessment Summary Form</t>
  </si>
  <si>
    <t>Investigate significant variances and obtain explanations.</t>
  </si>
  <si>
    <t>Evaluate internal control effectiveness</t>
  </si>
  <si>
    <t>Assess key financial ratios for inconsistencies.</t>
  </si>
  <si>
    <t>Adjust audit procedures if needed</t>
  </si>
  <si>
    <t>Document findings and conclusions for audit evidence.</t>
  </si>
  <si>
    <t>Document final risk conclusions</t>
  </si>
  <si>
    <t>Financial Statement and Deliverables</t>
  </si>
  <si>
    <t>Review Testwork Conclusion Sections to compile key audit findings.</t>
  </si>
  <si>
    <t>Update financials and notes based on the audit-adjusted trial balance in caseview.</t>
  </si>
  <si>
    <t>CaseView</t>
  </si>
  <si>
    <t>Review Prior Year Audit Findings follow-up</t>
  </si>
  <si>
    <t>Review and validate key financial statement, and disclosures.</t>
  </si>
  <si>
    <t>Identify and communicate significant deficiencies to the client.</t>
  </si>
  <si>
    <t>Ensure proper classification and consistency across all financial documents.</t>
  </si>
  <si>
    <t>Document CAP (Corrective Action Plan) Response for client-proposed remediation steps.</t>
  </si>
  <si>
    <t xml:space="preserve">Ensure documents are Signed off </t>
  </si>
  <si>
    <t>Conduct a team meeting to discuss challenges</t>
  </si>
  <si>
    <t>Ensure all necessary adjustments are reflected in the final financial statements</t>
  </si>
  <si>
    <t>DocuSign</t>
  </si>
  <si>
    <t>Conduct the Exit Conference to discuss audit findings, adjustments, and final conclusions with management.</t>
  </si>
  <si>
    <t>Ensure all review notes are cleared.</t>
  </si>
  <si>
    <t>Obtain client acknowledgment on key findings and proposed adjustments</t>
  </si>
  <si>
    <t>Summarize all audit adjustments entries and take client confirmation.</t>
  </si>
  <si>
    <t>Address final queries or concerns before closing the audit.</t>
  </si>
  <si>
    <t>Prepare the Summary Audit Difference Evaluation Form (SAD).</t>
  </si>
  <si>
    <t>Document management responses, corrective actions, and follow-ups</t>
  </si>
  <si>
    <t>Prepare the disclosure checklist to ensure audit close.</t>
  </si>
  <si>
    <t>Check all required forms are signed, finalized,</t>
  </si>
  <si>
    <t>Obtain the Management Representation Letter (MRL) from the client.</t>
  </si>
  <si>
    <t>Take partner approval before sharing final audited report</t>
  </si>
  <si>
    <t>Draft the Management Comment Letter with audit observations, recommendations, and improvement areas.</t>
  </si>
  <si>
    <t>Share the final audit report, audited financial statements, and physical binder (if requested) with the client and obtain acknowledgment.</t>
  </si>
  <si>
    <t>Issue final invoices and confirm payment.</t>
  </si>
  <si>
    <t>Post-Audit</t>
  </si>
  <si>
    <t>Recommendation Tracking</t>
  </si>
  <si>
    <t>Future Planning</t>
  </si>
  <si>
    <t>Discuss key audit takeaways with the client for next year</t>
  </si>
  <si>
    <t>Update client profile on Monday.com.</t>
  </si>
  <si>
    <t>Schedule next year’s audit timeline and key deliverables</t>
  </si>
  <si>
    <t>Roll forward CaseWare file.</t>
  </si>
  <si>
    <t>Sanitize and archive workpapers.</t>
  </si>
  <si>
    <t>Document key audit takeaways.</t>
  </si>
  <si>
    <t>Schedule next year’s planning discussions.</t>
  </si>
  <si>
    <t>Automated Client Onboarding</t>
  </si>
  <si>
    <t>Automated Engagement letters</t>
  </si>
  <si>
    <t>Automated Risk Assessment</t>
  </si>
  <si>
    <t>Automation Tools:</t>
  </si>
  <si>
    <t>PPC Checkpoint- Auto-generates letters</t>
  </si>
  <si>
    <t>Client details are auto-populated in Monday.com from previous engagements.</t>
  </si>
  <si>
    <t>EL is generated in CaseView, using predefined templates.</t>
  </si>
  <si>
    <t>PPC Smart Practice Aids assist with risk assessment</t>
  </si>
  <si>
    <t>EL Bot- RFP based letter generation</t>
  </si>
  <si>
    <t>System auto-validates client name, contact, industry, and prior audit history.</t>
  </si>
  <si>
    <t>The generated EL is reviewed for accuracy before sharing.</t>
  </si>
  <si>
    <t>Engagement details are selected, and client data auto-fills in PPC Smart Practice Aids.</t>
  </si>
  <si>
    <t>Monday.com- Automated task tracking</t>
  </si>
  <si>
    <t>New clients are manually added to CaseWare and Monday.com's database</t>
  </si>
  <si>
    <t>Share with Onshore audit team and then with the client via DocuSign.</t>
  </si>
  <si>
    <t>Risk assessment questions are answered, and risks are categorized automatically.</t>
  </si>
  <si>
    <t>Audit procedures are suggested based on identified risks.</t>
  </si>
  <si>
    <t>Auto-filled audit program workpapers are generated and linked to CaseWare.</t>
  </si>
  <si>
    <t>Automated Document Collection</t>
  </si>
  <si>
    <t>AI-Driven Data Analysis</t>
  </si>
  <si>
    <t>Suralink- Auto-tracks documents</t>
  </si>
  <si>
    <t>Documents are requested via the Suralink Portal using the audit prep guide, following the CaseWare folder structure.</t>
  </si>
  <si>
    <t>Prior-year trial balance (PY TB) is already stored in CaseWare.</t>
  </si>
  <si>
    <t>A digital questionnaire is shared with the client to collect risk-related information.</t>
  </si>
  <si>
    <t>PPC Smart Practices Aids</t>
  </si>
  <si>
    <t>Other pending client documents are requested via Outlook</t>
  </si>
  <si>
    <t>When the current year trial balance is imported, the preliminary analytical lead sheet auto-generates.</t>
  </si>
  <si>
    <t>Clients complete and submit the questionnaire, providing details on financial processes, internal controls, and compliance risks.</t>
  </si>
  <si>
    <t>The lead sheet auto-populates prior-year figures, variance amounts, and variance percentages.</t>
  </si>
  <si>
    <t>Auditors review the completed questionnaire and incorporate identified risks into the audit planning process.</t>
  </si>
  <si>
    <t>Digital Questionnaires</t>
  </si>
  <si>
    <t>Unusual fluctuations are identified for further review based on variance analysis.</t>
  </si>
  <si>
    <t>Execution Phase</t>
  </si>
  <si>
    <t>Automated Document Extraction</t>
  </si>
  <si>
    <t>Automated Reconciliations</t>
  </si>
  <si>
    <t>Automated testing</t>
  </si>
  <si>
    <t>CaseWare- Auto-calculations</t>
  </si>
  <si>
    <t>1. Client-Provided Documents (via Suralink):</t>
  </si>
  <si>
    <t>Preliminary analytics auto-generate in CaseWare upon trial balance import, using last year’s audited trial balance for comparison</t>
  </si>
  <si>
    <t>PPC Templates auto-generate sampling selections based on risk criteria.</t>
  </si>
  <si>
    <t>PPC Templates- Automated Sampling</t>
  </si>
  <si>
    <t>Client uploads documents to the Suralink PBC list, assigned to specific line items.</t>
  </si>
  <si>
    <t>CaseWare auto-validates trial balance data for completeness.</t>
  </si>
  <si>
    <t>Auto Linking to Trial Balance</t>
  </si>
  <si>
    <t>Suralink highlights new uploads daily for easy tracking.</t>
  </si>
  <si>
    <t>Duplicate transactions and unusual patterns are flagged for review.</t>
  </si>
  <si>
    <t>The audit staff reviews, downloads, and organizes files within the appropriate CaseWare document manager folder.</t>
  </si>
  <si>
    <t>2. PPC Documents (via PPC Templates &amp; CaseWare)</t>
  </si>
  <si>
    <t>The required PPC templates and audit programs are extracted directly from the PPC tool during the audit process.</t>
  </si>
  <si>
    <t>Evidence Management</t>
  </si>
  <si>
    <t>Automated Evidence Collection</t>
  </si>
  <si>
    <t>Automated Documentation</t>
  </si>
  <si>
    <t>Auto-referencing</t>
  </si>
  <si>
    <t>Suralink-Auto-tracking</t>
  </si>
  <si>
    <t>Pending item list is imported into Suralink, including audit requests and selected transactions for testing.</t>
  </si>
  <si>
    <t>Suralink documents are uploaded into CaseWare, mapping to relevant audit workpapers.</t>
  </si>
  <si>
    <t>CaseWare assigns an automatic file number when a file is added.</t>
  </si>
  <si>
    <t>CaseWare- Auto-referencing</t>
  </si>
  <si>
    <t>Client uploads supporting documents for selected items in the assigned audit sections.</t>
  </si>
  <si>
    <t>Audit workpapers can be dragged from the PPC audit library into CaseWare.</t>
  </si>
  <si>
    <t>Excel files use formulas to auto-reference the file name as the testwork name.</t>
  </si>
  <si>
    <t>Automated Evidence tagging</t>
  </si>
  <si>
    <t>Auditors review uploaded documents and request additional information if necessary.</t>
  </si>
  <si>
    <t>Testwork files can be copied from other peer client CaseWare files.</t>
  </si>
  <si>
    <t>PDF files require manual referencing by creating reference boxes.</t>
  </si>
  <si>
    <t>Status tracking in Suralink helps monitor pending and completed requests.</t>
  </si>
  <si>
    <t>Documents received via Outlook can be manually dragged into CaseWare.</t>
  </si>
  <si>
    <t>PPC Word files come with built-in automatic referencing.</t>
  </si>
  <si>
    <t>Audit confirmations are initiated and tracked through Confirmation.com, streamlining bank, legal, and third-party confirmations.</t>
  </si>
  <si>
    <t>Confirmations from Confirmation.com can be imported into CaseWare.</t>
  </si>
  <si>
    <t>Lead sheet references are automatically generated in CaseWare.</t>
  </si>
  <si>
    <t>Signed documents from DocuSign can be manually added to CaseWare.</t>
  </si>
  <si>
    <t>Review Process</t>
  </si>
  <si>
    <t>Automated Analytics</t>
  </si>
  <si>
    <t>Auto-generated insights</t>
  </si>
  <si>
    <t>Automated issue tracking</t>
  </si>
  <si>
    <t>CaseWare- Auto-analytics</t>
  </si>
  <si>
    <t>Preliminary analytics auto-generate in CaseWare upon trial balance import, using last year’s audited trial balance for comparison.</t>
  </si>
  <si>
    <t>CaseView auto-populates financial statements and MD&amp;A using imported trial balance data.</t>
  </si>
  <si>
    <t>Reviewers can add comments on each testwork file, tagging team members for follow-ups.</t>
  </si>
  <si>
    <t>Automated exception reporting</t>
  </si>
  <si>
    <t>Revenue, expense, and payroll analytics auto-populate similarly, leveraging prior year data.</t>
  </si>
  <si>
    <t>CaseView automatically matches financial statements and flags errors if the balance sheet does not tie.</t>
  </si>
  <si>
    <t>Outstanding review notes are tracked</t>
  </si>
  <si>
    <t>Real-time dashboard updates</t>
  </si>
  <si>
    <t xml:space="preserve">MD&amp;A statements is auto linked with financial statements </t>
  </si>
  <si>
    <t>Notes to financial statements auto-reconcile with financial data</t>
  </si>
  <si>
    <t>Automated Report Generation</t>
  </si>
  <si>
    <t>Auto-updated Financials</t>
  </si>
  <si>
    <t>Automated Compliance checks</t>
  </si>
  <si>
    <t>Caseview- Auto-report generation</t>
  </si>
  <si>
    <t>Financial Statements: Import client trial balance into CaseWare, auto-populate financial statement amounts in real time, and generate financial statements in CaseView.</t>
  </si>
  <si>
    <t>All numeric cells in CaseView are linked to the adjusted trial balance (ATB) and update automatically with any adjustments</t>
  </si>
  <si>
    <t>PPC checklist ms wor template are used to ensure disclosures and reporting requirements are met.</t>
  </si>
  <si>
    <t>Real-time financial updates</t>
  </si>
  <si>
    <t>Notes to Financial Statements: CaseView automatically updates notes to FS numbers, and auditors manually review and update significant accounting policies, contingent liabilities, and key disclosures.</t>
  </si>
  <si>
    <t>Prior-year amounts are automatically linked to the prior-year trial balance as beginning balances.</t>
  </si>
  <si>
    <t>CaseWare sign-off functionality ensures reviewer approvals before finalization</t>
  </si>
  <si>
    <t>Automated disclosure checks</t>
  </si>
  <si>
    <t>Audit Reports: Select and extract the appropriate PPC audit report template in CaseView, applying firm-wide formatting styles, footnotes, and headers for consistency.</t>
  </si>
  <si>
    <t>Year-related fields and client name cells automatically update according to the engagement settings.</t>
  </si>
  <si>
    <t>Lead sheets and trial balance mapping auto-reconcile to confirm reporting accuracy.</t>
  </si>
  <si>
    <t>All the calculations are formula-driven to ensure accuracy and eliminate manual errors.</t>
  </si>
  <si>
    <t>CaseView provides real-time updates, ensuring consistency across all financial statements.</t>
  </si>
  <si>
    <t>Finalization</t>
  </si>
  <si>
    <t>E-signature process</t>
  </si>
  <si>
    <t>Automated Archiving</t>
  </si>
  <si>
    <t>Auto-generated Summary</t>
  </si>
  <si>
    <t>DocuSign-Automated signing</t>
  </si>
  <si>
    <t>Engagement letters, Mgt letters and audit reports are sent for e-signature via DocuSign or Suralink, else outlook.</t>
  </si>
  <si>
    <t>CaseWare is roll-forwarded for the next audit cycle.</t>
  </si>
  <si>
    <t>Audit points are manually compiled into a PPT</t>
  </si>
  <si>
    <t>Automated File Management</t>
  </si>
  <si>
    <t>Sanitization removes unnecessary data from prior years.</t>
  </si>
  <si>
    <t>No automated process currently exists for generating summaries.</t>
  </si>
  <si>
    <t>Auto-generated closing memos</t>
  </si>
  <si>
    <t>Finalized CaseWare files are locked, restricting edits.</t>
  </si>
  <si>
    <t>Existing users retain view-only access for reference.</t>
  </si>
  <si>
    <t>Monitoring</t>
  </si>
  <si>
    <t>Automated Follow-up</t>
  </si>
  <si>
    <t>Auto-scheduled Reviews</t>
  </si>
  <si>
    <t>Predictive Analytics</t>
  </si>
  <si>
    <t>Automated recommendation tracking</t>
  </si>
  <si>
    <t>Outstanding PBC (Provided by Client) requests are flagged, prompting follow-up emails via Suralink button.</t>
  </si>
  <si>
    <t>No auto-scheduled reviews are currently in place.</t>
  </si>
  <si>
    <t>The lead sheet auto-generates based on prior-year trial balance (PY TB) and current data.</t>
  </si>
  <si>
    <t>Auto-scheduled follow-ups</t>
  </si>
  <si>
    <t>Review timelines are manually set and tracked by the team.</t>
  </si>
  <si>
    <t>CaseWare auto-calculates and compares current vs. prior-year financials, highlighting variances.</t>
  </si>
  <si>
    <t>AI-driven planning insights</t>
  </si>
  <si>
    <t>Sign-offs are manually monitored.</t>
  </si>
  <si>
    <t>These automated comparisons help identify unusual trends and potential risks.</t>
  </si>
  <si>
    <t>No AI-driven predictive analytics are currently in place.</t>
  </si>
  <si>
    <t>Prepare | Plan | Audit | Report | Close</t>
  </si>
  <si>
    <t>AiM: Flowchart | 7Mar26</t>
  </si>
  <si>
    <t>Phases</t>
  </si>
  <si>
    <t>Prepare</t>
  </si>
  <si>
    <t>Plan</t>
  </si>
  <si>
    <t>Audit</t>
  </si>
  <si>
    <t>Report</t>
  </si>
  <si>
    <t>Close</t>
  </si>
  <si>
    <t>Knowledge / context
(documents and files)</t>
  </si>
  <si>
    <t>EL templates, HCLLP WP and PBC</t>
  </si>
  <si>
    <t>PPC, PBC and HCLLP WP</t>
  </si>
  <si>
    <t xml:space="preserve">PBC, HCLLP WP, PPC documents and templates </t>
  </si>
  <si>
    <t>PY TB, TB, HCLLP WP</t>
  </si>
  <si>
    <t>PPC, PBC, HCLLP WP and  Questionnaires</t>
  </si>
  <si>
    <t>PPC templates, risk criteria</t>
  </si>
  <si>
    <t>HCLLP WP, TW, Confirmations and signed documents</t>
  </si>
  <si>
    <t>PPC and Testwork files</t>
  </si>
  <si>
    <t>HCLLP WP, TP, PY TB and TB</t>
  </si>
  <si>
    <t>HCLLP WP, TW, FS, MD&amp;A, Notes to financial statements</t>
  </si>
  <si>
    <t>Testwork file, Engagement team roles</t>
  </si>
  <si>
    <t>PPC audit report templates</t>
  </si>
  <si>
    <t>PPC Checklist templates (Word) and lead sheet</t>
  </si>
  <si>
    <t>EL, management letters and audit reports</t>
  </si>
  <si>
    <t xml:space="preserve">CaseWare files </t>
  </si>
  <si>
    <t>Closing memos, summary and PPT</t>
  </si>
  <si>
    <t>TB and PY TB</t>
  </si>
  <si>
    <t>Systems / databases and tools</t>
  </si>
  <si>
    <t>CaseWare and Monday.com</t>
  </si>
  <si>
    <t>CaseView, DocuSign and EL Generator</t>
  </si>
  <si>
    <t>PPC Checkpoint letter generator</t>
  </si>
  <si>
    <t>Doclink / Suralink,  Outlook, CaseWare and PPC tool</t>
  </si>
  <si>
    <t>CaseWare and TB auto-linking</t>
  </si>
  <si>
    <t>CaseWare, Doclink / Suralink,   Confirmation.com, auto-evidence tagging</t>
  </si>
  <si>
    <t>CaseWare, Doclink / Suralink, Confirmation.com and DocuSign</t>
  </si>
  <si>
    <t>CaseWare, Excel, Word, PDF and auto-referencing</t>
  </si>
  <si>
    <t>CaseWare, GenAI analytics and auto exception reporting</t>
  </si>
  <si>
    <t>CaseWare and Tie-out</t>
  </si>
  <si>
    <t xml:space="preserve">CaseWare </t>
  </si>
  <si>
    <t>CaseWare, CaseView and GenAI reporter</t>
  </si>
  <si>
    <t>CaseWare and CaseView</t>
  </si>
  <si>
    <t xml:space="preserve">CaseWare, CaseView, Checklist and auto disclosure checker </t>
  </si>
  <si>
    <t>DocuSign, Doclink / Suralink and Outlook</t>
  </si>
  <si>
    <t>Auto-generate summary, auto generate memos and PPT</t>
  </si>
  <si>
    <t>Auto scheduled follow-ups</t>
  </si>
  <si>
    <t>CaseWare, auto recommendations tracker and GenAI insights</t>
  </si>
  <si>
    <t>AI jobs / agents
(Agentic AI system through orchestration via MCP server  protocol with multi-LLM complexion model)</t>
  </si>
  <si>
    <t>On-board client for new engagement:
 - Reference previous engagements in  CaseWare
 - Validate client name, contact, industry and prior audit history 
 - Populate Monday.com with the client and new engagement information 
 - Update CaseWare accordingly</t>
  </si>
  <si>
    <t>Generate EL:
 - Get client and engagement details from CaseWare and Monday.com
 - Use predefined templates
 - Generate EL in CaseView</t>
  </si>
  <si>
    <t>Assess risks:
 - Select engagement details
 - Use client data to fill-in PPC Smart Practice Aids
 - Answer risk assessment questions
 - Categorize risks
 - Suggest audit procedure based on identified risks
 - Generate WPs and link to CaseWare</t>
  </si>
  <si>
    <t>Collect documents:
 - Follow CaseWare folder structure
 - Setup PBC list in Doclink/Suralink
 - Use audit prep guide
 - Request documents via secured document sharing system (Doclink or Suralink)
 - Request other documents via email (Outlook)
 - Doclink/Suralink highlights new uploads daily for easy tracking
 - Organize updated client and engagement documents in CaseWare folder structure
 - Extract required PPC templates and audit programs from PPC tool</t>
  </si>
  <si>
    <t>Analyze data:
 - Reference prior year trail balance (PY TB) already stored in CaseWare
 - Import current year trial balance (TB) from CaseWare documents
 - Generate preliminary analytical lead sheet
 - Populate lead sheet with prior-year figures, variance amounts and variance percentages
 - Analyze variances / flux analysis
 - Identify / flag unusual fluctuations</t>
  </si>
  <si>
    <t>Reconcile (auto-linking to TB):
 - Generate preliminary analytics in CaseWare from imported trial balance using last year's audited trail balance for comparison</t>
  </si>
  <si>
    <t xml:space="preserve">Assess risks:
 - Share questionnaire with the client to collect risk-related information 
 - Use client provided details from  questionnaire on financial processes, internal controls and compliance risks 
 - Identify risks </t>
  </si>
  <si>
    <t>Test:
 - Generate sampling selections using PPC templates based on risk criteria
 - Validate trail balance data for completeness using auto-calculations in CaseWare 
 - Flag duplicate transactions
 - Flag unusual patterns</t>
  </si>
  <si>
    <t>Collect and tag evidence:
 - Import pending items list into Doclink / Suralink
 - Import audit requests into Doclink / Suralink
 - Import selected transactions into Doclink / Suralink
 - Use PBC list updates to carry out testing 
 - Initiate audit confirmations
 - Track in Confirmation.com  streamlining bank, legal and third-party confirmations</t>
  </si>
  <si>
    <t xml:space="preserve">Collect documents:
 - Map Doclink / Suralink documents uploaded into CaseWare to relevant audit workpapers
 - Drop audit workpapers (WP) from PPC audit library into CaseWare
 - Copy Testwork (TW) from peer clients in CaseWare 
 - Import confirmations from Confirmaations.com into CaseWare
 - Add signed documents from DocuSign to CaseWare
</t>
  </si>
  <si>
    <t>Reference:
 - Assign file number in CaseWare
 - Use formulas in Excel to auto-reference file name as Testwork (TW) name
 - Reference PPC Word files
 - Reference PDF files
 - Generate references in lead sheet in CaseWare</t>
  </si>
  <si>
    <t>Generate analytics:
 - Generate analytics in CaseWare to compare imported trial balance (TB) with previous year's audited trial year (PY TB)
 - Generate analytics in CaseWare to compare with PY revenue, expense and payroll</t>
  </si>
  <si>
    <t>Generate insights:
 - Populate in CaseWare financial statements and management discussions and analysis (MD&amp;A) sections using imported trial balance (TB) data
 - Flag errors in CaseView for mismatches between financial statements and balance sheet if they do not tie
 - Link MD&amp;A statements with financial statements 
 - Reconcile Notes to financial statements with financial data</t>
  </si>
  <si>
    <t>Track issues:
 -  Insert comments on each Testwork (TW) file tagging team members for follow-ups</t>
  </si>
  <si>
    <t>Generate report:
 - Financial Statements (FS): 
    = Import client TB into CaseWare
    = Populate FS amounts 
    = Generate FS in CaseView
 - Notes to financial statements (FS):
    = Update Notes to FS numbers in CaseView
 - Audit reports:
    = Select and extract appropriate PPC audit report template in CaseView
    = Apply firm-wide formatting style, footnotes and headers for consistency</t>
  </si>
  <si>
    <t xml:space="preserve">Update financials:
 - Link all numeric cells in CaseView to adjusted trial balance (ATB) 
 - Update adjustments 
 - Link prior-year amounts to prior-year trial balance (PY TB) as beginning balance
 - Update client name cells and year related fields in CaseView according to the engagement settings 
 - Check all calculations are formula driven to ensure accuracy and avoid manual errors 
 - Update financial statements real-time in CaseView for across the board consistency </t>
  </si>
  <si>
    <t xml:space="preserve">Compliance checks:
 - Use PPC checklist templates
 - Check  disclosures 
 - Update financial real-time 
 - Auto-generate report in CaseView
 - Reconcile lead sheet and trail balance mapping to confirm reporting accuracy </t>
  </si>
  <si>
    <t>E-sign:
 - Send engagement letters (ELs), management letters and audit reports for e-signature via DocuSign or Doclink / Suralink or Outlook</t>
  </si>
  <si>
    <t xml:space="preserve">Archive:
 - Roll-forward CaseWare for next audit cycle 
 - Remove unnecessary data from prior years (sanitize) 
 - Lock finalized CaseWare files, restricting edits 
 - Retain view-only access to existing users for reference </t>
  </si>
  <si>
    <t>Summarize:
 - Generate summary automatically 
 - Compile audit points into PPT</t>
  </si>
  <si>
    <t>Follow-up:
 - Flag outstanding PBC (provided by client) requests 
 - Prompt follow-up emails via Doclink / Suralink button</t>
  </si>
  <si>
    <t xml:space="preserve">Schedule reviews:
 - Set review timelines
 - Track review timelines
 - Monitor sign-offs </t>
  </si>
  <si>
    <t xml:space="preserve">Predictive analytics:
 - Generate lead sheet based on prior-year trial balance (PY TB) and current data
 - Calculate in CaseWare current versus prior-year financials variances for comparison
 - Identify unseal trends and potential risks from comparisons </t>
  </si>
  <si>
    <t>Human intervention
(Workspace with real-time dashboard updates)</t>
  </si>
  <si>
    <t xml:space="preserve"> - Manually add new clients to CaseWare and Monday.com database
 - Partner approves acceptance of new or continuance, including independence before audit begins</t>
  </si>
  <si>
    <t xml:space="preserve"> - Review EL for accuracy
Send to client via DocuSign</t>
  </si>
  <si>
    <t xml:space="preserve"> - Partner / Sr. Manager approves final materiality, significant risks and audit strategy</t>
  </si>
  <si>
    <t xml:space="preserve"> - Client provides documents via secured document sharing system (uploads documents to Doclink / Suralink PBC list, assigned to specific line items </t>
  </si>
  <si>
    <t xml:space="preserve"> - Review unusual fluctuations identified / flagged based on variance analysis </t>
  </si>
  <si>
    <t xml:space="preserve"> - Client submits completed the  questionnaire
 - Review completed questionnaire
 - Review identified risks</t>
  </si>
  <si>
    <t xml:space="preserve"> - Review duplicate transactions identified
 - Review unusual patterns identified </t>
  </si>
  <si>
    <t>Handle exception reports using real-time dashboard updates</t>
  </si>
  <si>
    <t xml:space="preserve"> - Track outstanding review notes</t>
  </si>
  <si>
    <t xml:space="preserve"> - Review and update significant accounting policies, contingent libraries and key disclosures</t>
  </si>
  <si>
    <t xml:space="preserve">  - Ensure reporting requirements are met
 - Approve before finalization by using sign-off functionality in CaseWare</t>
  </si>
  <si>
    <t xml:space="preserve"> - Conduct reviews as scheduled</t>
  </si>
  <si>
    <t xml:space="preserve"> - Review real-time dashboard updates and alerts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</si>
</sst>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charset val="1"/>
    </font>
    <font>
      <sz val="10"/>
      <name val="Arial"/>
      <charset val="1"/>
    </font>
    <font>
      <b/>
      <sz val="12"/>
      <color theme="1"/>
      <name val="Aptos Narrow"/>
      <family val="2"/>
      <charset val="1"/>
    </font>
    <font>
      <b/>
      <sz val="12"/>
      <color rgb="FFEE0000"/>
      <name val="Aptos Narrow"/>
      <family val="2"/>
      <charset val="1"/>
    </font>
    <font>
      <b/>
      <sz val="12"/>
      <color theme="3" tint="0.24988555558946501"/>
      <name val="Aptos Narrow"/>
      <family val="2"/>
      <charset val="1"/>
    </font>
    <font>
      <b/>
      <sz val="10"/>
      <color rgb="FFFFFFFF"/>
      <name val="Arial"/>
      <charset val="1"/>
    </font>
    <font>
      <b/>
      <sz val="12"/>
      <color rgb="FFFF0000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u/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u/>
      <sz val="11"/>
      <color theme="1"/>
      <name val="Arial"/>
      <family val="2"/>
      <charset val="1"/>
    </font>
    <font>
      <u/>
      <sz val="11"/>
      <color theme="1"/>
      <name val="Arial"/>
      <family val="2"/>
      <charset val="1"/>
    </font>
    <font>
      <sz val="11"/>
      <name val="Arial"/>
      <family val="2"/>
      <charset val="1"/>
    </font>
    <font>
      <sz val="12"/>
      <color theme="0"/>
      <name val="Aptos Narrow"/>
      <family val="2"/>
      <charset val="1"/>
    </font>
    <font>
      <i/>
      <sz val="11"/>
      <color theme="3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sz val="11"/>
      <color rgb="FFC00000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C6E0B4"/>
        <bgColor rgb="FFC2F1C8"/>
      </patternFill>
    </fill>
    <fill>
      <patternFill patternType="solid">
        <fgColor rgb="FFFFE699"/>
        <bgColor rgb="FFFFFF99"/>
      </patternFill>
    </fill>
    <fill>
      <patternFill patternType="solid">
        <fgColor rgb="FFF4B084"/>
        <bgColor rgb="FFBFBFBF"/>
      </patternFill>
    </fill>
    <fill>
      <patternFill patternType="solid">
        <fgColor rgb="FF1F4E78"/>
        <bgColor rgb="FF084F6B"/>
      </patternFill>
    </fill>
    <fill>
      <patternFill patternType="solid">
        <fgColor theme="3" tint="0.59987182226020086"/>
        <bgColor rgb="FF61CBF4"/>
      </patternFill>
    </fill>
    <fill>
      <patternFill patternType="solid">
        <fgColor rgb="FFFFFF00"/>
        <bgColor rgb="FFFFC000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AAE571"/>
        <bgColor rgb="FF92D050"/>
      </patternFill>
    </fill>
    <fill>
      <patternFill patternType="solid">
        <fgColor rgb="FFFFC000"/>
        <bgColor rgb="FFF4B084"/>
      </patternFill>
    </fill>
    <fill>
      <patternFill patternType="solid">
        <fgColor theme="1"/>
        <bgColor rgb="FF0E2841"/>
      </patternFill>
    </fill>
    <fill>
      <patternFill patternType="solid">
        <fgColor theme="3"/>
        <bgColor rgb="FF003300"/>
      </patternFill>
    </fill>
    <fill>
      <patternFill patternType="solid">
        <fgColor theme="3" tint="0.89989928891872917"/>
        <bgColor rgb="FFCAEEFB"/>
      </patternFill>
    </fill>
    <fill>
      <patternFill patternType="solid">
        <fgColor theme="7" tint="0.79989013336588644"/>
        <bgColor rgb="FFDCEAF7"/>
      </patternFill>
    </fill>
    <fill>
      <patternFill patternType="solid">
        <fgColor theme="7" tint="0.59987182226020086"/>
        <bgColor rgb="FFCAEEFB"/>
      </patternFill>
    </fill>
    <fill>
      <patternFill patternType="solid">
        <fgColor theme="7" tint="0.39988402966399123"/>
        <bgColor rgb="FF71AAE0"/>
      </patternFill>
    </fill>
    <fill>
      <patternFill patternType="solid">
        <fgColor theme="7" tint="-0.249977111117893"/>
        <bgColor rgb="FF008080"/>
      </patternFill>
    </fill>
    <fill>
      <patternFill patternType="solid">
        <fgColor theme="7" tint="-0.499984740745262"/>
        <bgColor rgb="FF1F4E78"/>
      </patternFill>
    </fill>
    <fill>
      <patternFill patternType="solid">
        <fgColor theme="6" tint="0.79989013336588644"/>
        <bgColor rgb="FFD9F2D0"/>
      </patternFill>
    </fill>
    <fill>
      <patternFill patternType="solid">
        <fgColor theme="9" tint="0.79989013336588644"/>
        <bgColor rgb="FFC2F1C8"/>
      </patternFill>
    </fill>
    <fill>
      <patternFill patternType="solid">
        <fgColor theme="0" tint="-0.14999847407452621"/>
        <bgColor rgb="FFDCEAF7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5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7" fillId="0" borderId="0" xfId="0" applyFont="1"/>
    <xf numFmtId="16" fontId="0" fillId="0" borderId="0" xfId="0" applyNumberFormat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0" fillId="6" borderId="2" xfId="0" applyFill="1" applyBorder="1"/>
    <xf numFmtId="0" fontId="6" fillId="0" borderId="2" xfId="0" applyFont="1" applyBorder="1"/>
    <xf numFmtId="0" fontId="7" fillId="0" borderId="2" xfId="0" applyFont="1" applyBorder="1"/>
    <xf numFmtId="0" fontId="0" fillId="7" borderId="0" xfId="0" applyFill="1"/>
    <xf numFmtId="16" fontId="0" fillId="7" borderId="2" xfId="0" applyNumberFormat="1" applyFill="1" applyBorder="1"/>
    <xf numFmtId="0" fontId="0" fillId="7" borderId="2" xfId="0" applyFill="1" applyBorder="1"/>
    <xf numFmtId="0" fontId="2" fillId="7" borderId="2" xfId="0" applyFont="1" applyFill="1" applyBorder="1"/>
    <xf numFmtId="16" fontId="0" fillId="0" borderId="2" xfId="0" applyNumberFormat="1" applyBorder="1"/>
    <xf numFmtId="16" fontId="2" fillId="0" borderId="2" xfId="0" applyNumberFormat="1" applyFont="1" applyBorder="1"/>
    <xf numFmtId="0" fontId="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" fillId="7" borderId="0" xfId="0" applyFont="1" applyFill="1" applyAlignment="1">
      <alignment vertical="top" wrapText="1"/>
    </xf>
    <xf numFmtId="0" fontId="0" fillId="8" borderId="2" xfId="0" applyFill="1" applyBorder="1" applyAlignment="1">
      <alignment vertical="top"/>
    </xf>
    <xf numFmtId="0" fontId="0" fillId="8" borderId="2" xfId="0" applyFill="1" applyBorder="1" applyAlignment="1">
      <alignment vertical="top" wrapText="1"/>
    </xf>
    <xf numFmtId="0" fontId="10" fillId="8" borderId="3" xfId="0" applyFont="1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0" fillId="9" borderId="2" xfId="0" applyFill="1" applyBorder="1" applyAlignment="1">
      <alignment vertical="top" wrapText="1"/>
    </xf>
    <xf numFmtId="0" fontId="0" fillId="8" borderId="5" xfId="0" applyFill="1" applyBorder="1" applyAlignment="1">
      <alignment vertical="top"/>
    </xf>
    <xf numFmtId="0" fontId="0" fillId="10" borderId="2" xfId="0" applyFill="1" applyBorder="1" applyAlignment="1">
      <alignment vertical="top" wrapText="1"/>
    </xf>
    <xf numFmtId="0" fontId="0" fillId="8" borderId="0" xfId="0" applyFill="1" applyAlignment="1">
      <alignment vertical="top"/>
    </xf>
    <xf numFmtId="0" fontId="0" fillId="9" borderId="2" xfId="0" applyFill="1" applyBorder="1" applyAlignment="1">
      <alignment vertical="top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vertical="top"/>
    </xf>
    <xf numFmtId="0" fontId="11" fillId="0" borderId="0" xfId="0" applyFont="1"/>
    <xf numFmtId="0" fontId="12" fillId="0" borderId="0" xfId="0" applyFont="1" applyAlignment="1">
      <alignment wrapText="1"/>
    </xf>
    <xf numFmtId="0" fontId="12" fillId="0" borderId="0" xfId="0" applyFont="1"/>
    <xf numFmtId="0" fontId="13" fillId="7" borderId="0" xfId="0" applyFont="1" applyFill="1" applyAlignment="1">
      <alignment wrapText="1"/>
    </xf>
    <xf numFmtId="0" fontId="12" fillId="8" borderId="2" xfId="0" applyFont="1" applyFill="1" applyBorder="1" applyAlignment="1">
      <alignment wrapText="1"/>
    </xf>
    <xf numFmtId="0" fontId="12" fillId="8" borderId="2" xfId="0" applyFont="1" applyFill="1" applyBorder="1"/>
    <xf numFmtId="0" fontId="14" fillId="8" borderId="3" xfId="0" applyFont="1" applyFill="1" applyBorder="1"/>
    <xf numFmtId="0" fontId="12" fillId="8" borderId="4" xfId="0" applyFont="1" applyFill="1" applyBorder="1"/>
    <xf numFmtId="0" fontId="15" fillId="9" borderId="2" xfId="0" applyFont="1" applyFill="1" applyBorder="1" applyAlignment="1">
      <alignment wrapText="1"/>
    </xf>
    <xf numFmtId="0" fontId="12" fillId="9" borderId="2" xfId="0" applyFont="1" applyFill="1" applyBorder="1" applyAlignment="1">
      <alignment wrapText="1"/>
    </xf>
    <xf numFmtId="0" fontId="12" fillId="8" borderId="5" xfId="0" applyFont="1" applyFill="1" applyBorder="1"/>
    <xf numFmtId="0" fontId="12" fillId="9" borderId="2" xfId="0" applyFont="1" applyFill="1" applyBorder="1"/>
    <xf numFmtId="0" fontId="12" fillId="8" borderId="0" xfId="0" applyFont="1" applyFill="1"/>
    <xf numFmtId="0" fontId="14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16" fillId="11" borderId="6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16" fillId="12" borderId="7" xfId="0" applyFont="1" applyFill="1" applyBorder="1" applyAlignment="1">
      <alignment horizontal="left" vertical="top"/>
    </xf>
    <xf numFmtId="0" fontId="16" fillId="12" borderId="8" xfId="0" applyFont="1" applyFill="1" applyBorder="1" applyAlignment="1">
      <alignment horizontal="left" vertical="top"/>
    </xf>
    <xf numFmtId="0" fontId="7" fillId="12" borderId="8" xfId="0" applyFont="1" applyFill="1" applyBorder="1" applyAlignment="1">
      <alignment horizontal="left" vertical="top"/>
    </xf>
    <xf numFmtId="0" fontId="7" fillId="12" borderId="9" xfId="0" applyFont="1" applyFill="1" applyBorder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13" borderId="10" xfId="0" applyFont="1" applyFill="1" applyBorder="1" applyAlignment="1">
      <alignment horizontal="right" vertical="top" wrapText="1"/>
    </xf>
    <xf numFmtId="0" fontId="8" fillId="14" borderId="8" xfId="0" applyFont="1" applyFill="1" applyBorder="1" applyAlignment="1">
      <alignment horizontal="center" vertical="top" wrapText="1"/>
    </xf>
    <xf numFmtId="0" fontId="8" fillId="15" borderId="7" xfId="0" applyFont="1" applyFill="1" applyBorder="1" applyAlignment="1">
      <alignment horizontal="center" vertical="top" wrapText="1"/>
    </xf>
    <xf numFmtId="0" fontId="8" fillId="15" borderId="8" xfId="0" applyFont="1" applyFill="1" applyBorder="1" applyAlignment="1">
      <alignment horizontal="center" vertical="top" wrapText="1"/>
    </xf>
    <xf numFmtId="0" fontId="8" fillId="16" borderId="7" xfId="0" applyFont="1" applyFill="1" applyBorder="1" applyAlignment="1">
      <alignment horizontal="center" vertical="top" wrapText="1"/>
    </xf>
    <xf numFmtId="0" fontId="8" fillId="16" borderId="8" xfId="0" applyFont="1" applyFill="1" applyBorder="1" applyAlignment="1">
      <alignment horizontal="center" vertical="top" wrapText="1"/>
    </xf>
    <xf numFmtId="0" fontId="8" fillId="16" borderId="9" xfId="0" applyFont="1" applyFill="1" applyBorder="1" applyAlignment="1">
      <alignment horizontal="center" vertical="top" wrapText="1"/>
    </xf>
    <xf numFmtId="0" fontId="18" fillId="17" borderId="8" xfId="0" applyFont="1" applyFill="1" applyBorder="1" applyAlignment="1">
      <alignment horizontal="center" vertical="top" wrapText="1"/>
    </xf>
    <xf numFmtId="0" fontId="18" fillId="18" borderId="7" xfId="0" applyFont="1" applyFill="1" applyBorder="1" applyAlignment="1">
      <alignment horizontal="center" vertical="top" wrapText="1"/>
    </xf>
    <xf numFmtId="0" fontId="18" fillId="18" borderId="8" xfId="0" applyFont="1" applyFill="1" applyBorder="1" applyAlignment="1">
      <alignment horizontal="center" vertical="top" wrapText="1"/>
    </xf>
    <xf numFmtId="0" fontId="18" fillId="18" borderId="9" xfId="0" applyFont="1" applyFill="1" applyBorder="1" applyAlignment="1">
      <alignment horizontal="center" vertical="top" wrapText="1"/>
    </xf>
    <xf numFmtId="0" fontId="19" fillId="19" borderId="11" xfId="0" applyFont="1" applyFill="1" applyBorder="1" applyAlignment="1">
      <alignment horizontal="left" vertical="top" wrapText="1"/>
    </xf>
    <xf numFmtId="0" fontId="0" fillId="20" borderId="12" xfId="0" applyFill="1" applyBorder="1" applyAlignment="1">
      <alignment horizontal="left" vertical="top" wrapText="1"/>
    </xf>
    <xf numFmtId="0" fontId="0" fillId="20" borderId="5" xfId="0" applyFill="1" applyBorder="1" applyAlignment="1">
      <alignment horizontal="left" vertical="top" wrapText="1"/>
    </xf>
    <xf numFmtId="0" fontId="0" fillId="20" borderId="13" xfId="0" applyFill="1" applyBorder="1" applyAlignment="1">
      <alignment horizontal="left" vertical="top" wrapText="1"/>
    </xf>
    <xf numFmtId="0" fontId="0" fillId="20" borderId="14" xfId="0" applyFill="1" applyBorder="1" applyAlignment="1">
      <alignment horizontal="left" vertical="top" wrapText="1"/>
    </xf>
    <xf numFmtId="0" fontId="0" fillId="20" borderId="15" xfId="0" applyFill="1" applyBorder="1" applyAlignment="1">
      <alignment horizontal="left" vertical="top" wrapText="1"/>
    </xf>
    <xf numFmtId="0" fontId="0" fillId="20" borderId="16" xfId="0" applyFill="1" applyBorder="1" applyAlignment="1">
      <alignment horizontal="left" vertical="top" wrapText="1"/>
    </xf>
    <xf numFmtId="0" fontId="19" fillId="21" borderId="17" xfId="0" applyFont="1" applyFill="1" applyBorder="1" applyAlignment="1">
      <alignment horizontal="left" vertical="top" wrapText="1"/>
    </xf>
    <xf numFmtId="0" fontId="0" fillId="22" borderId="18" xfId="0" applyFill="1" applyBorder="1" applyAlignment="1">
      <alignment horizontal="left" vertical="top" wrapText="1"/>
    </xf>
    <xf numFmtId="0" fontId="0" fillId="22" borderId="2" xfId="0" applyFill="1" applyBorder="1" applyAlignment="1">
      <alignment horizontal="left" vertical="top" wrapText="1"/>
    </xf>
    <xf numFmtId="0" fontId="20" fillId="22" borderId="19" xfId="0" applyFont="1" applyFill="1" applyBorder="1" applyAlignment="1">
      <alignment horizontal="left" vertical="top" wrapText="1"/>
    </xf>
    <xf numFmtId="0" fontId="0" fillId="22" borderId="20" xfId="0" applyFill="1" applyBorder="1" applyAlignment="1">
      <alignment horizontal="left" vertical="top" wrapText="1"/>
    </xf>
    <xf numFmtId="0" fontId="0" fillId="22" borderId="19" xfId="0" applyFill="1" applyBorder="1" applyAlignment="1">
      <alignment horizontal="left" vertical="top" wrapText="1"/>
    </xf>
    <xf numFmtId="0" fontId="0" fillId="22" borderId="21" xfId="0" applyFill="1" applyBorder="1" applyAlignment="1">
      <alignment horizontal="left" vertical="top" wrapText="1"/>
    </xf>
    <xf numFmtId="0" fontId="0" fillId="22" borderId="22" xfId="0" applyFill="1" applyBorder="1" applyAlignment="1">
      <alignment horizontal="left" vertical="top" wrapText="1"/>
    </xf>
    <xf numFmtId="0" fontId="0" fillId="21" borderId="20" xfId="0" applyFill="1" applyBorder="1" applyAlignment="1">
      <alignment horizontal="left" vertical="top" wrapText="1"/>
    </xf>
    <xf numFmtId="0" fontId="0" fillId="21" borderId="2" xfId="0" applyFill="1" applyBorder="1" applyAlignment="1">
      <alignment horizontal="left" vertical="top" wrapText="1"/>
    </xf>
    <xf numFmtId="0" fontId="20" fillId="21" borderId="2" xfId="0" applyFont="1" applyFill="1" applyBorder="1" applyAlignment="1">
      <alignment horizontal="left" vertical="top" wrapText="1"/>
    </xf>
    <xf numFmtId="0" fontId="0" fillId="21" borderId="22" xfId="0" applyFill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19" fillId="23" borderId="23" xfId="0" applyFont="1" applyFill="1" applyBorder="1" applyAlignment="1">
      <alignment horizontal="left" vertical="top" wrapText="1"/>
    </xf>
    <xf numFmtId="0" fontId="0" fillId="24" borderId="24" xfId="0" applyFill="1" applyBorder="1" applyAlignment="1">
      <alignment horizontal="left" vertical="top" wrapText="1"/>
    </xf>
    <xf numFmtId="0" fontId="0" fillId="24" borderId="25" xfId="0" applyFill="1" applyBorder="1" applyAlignment="1">
      <alignment horizontal="left" vertical="top" wrapText="1"/>
    </xf>
    <xf numFmtId="0" fontId="0" fillId="24" borderId="26" xfId="0" applyFill="1" applyBorder="1" applyAlignment="1">
      <alignment horizontal="left" vertical="top" wrapText="1"/>
    </xf>
    <xf numFmtId="0" fontId="0" fillId="24" borderId="27" xfId="0" applyFill="1" applyBorder="1" applyAlignment="1">
      <alignment horizontal="left" vertical="top" wrapText="1"/>
    </xf>
    <xf numFmtId="0" fontId="0" fillId="24" borderId="28" xfId="0" applyFill="1" applyBorder="1" applyAlignment="1">
      <alignment horizontal="left" vertical="top" wrapText="1"/>
    </xf>
    <xf numFmtId="0" fontId="0" fillId="24" borderId="2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B77A0"/>
      <rgbColor rgb="FFBFBFBF"/>
      <rgbColor rgb="FF808080"/>
      <rgbColor rgb="FF71AAE0"/>
      <rgbColor rgb="FF993366"/>
      <rgbColor rgb="FFFFFFCC"/>
      <rgbColor rgb="FFCAEEFB"/>
      <rgbColor rgb="FF660066"/>
      <rgbColor rgb="FFD9F2D0"/>
      <rgbColor rgb="FF215F9A"/>
      <rgbColor rgb="FFD9D9D9"/>
      <rgbColor rgb="FF000080"/>
      <rgbColor rgb="FFFF00FF"/>
      <rgbColor rgb="FFAAE571"/>
      <rgbColor rgb="FF00FFFF"/>
      <rgbColor rgb="FF800080"/>
      <rgbColor rgb="FFEE0000"/>
      <rgbColor rgb="FF008080"/>
      <rgbColor rgb="FF0000FF"/>
      <rgbColor rgb="FF00CCFF"/>
      <rgbColor rgb="FFDCEAF7"/>
      <rgbColor rgb="FFC2F1C8"/>
      <rgbColor rgb="FFFFFF99"/>
      <rgbColor rgb="FF96DCF8"/>
      <rgbColor rgb="FFF4B084"/>
      <rgbColor rgb="FFC6E0B4"/>
      <rgbColor rgb="FFFFE699"/>
      <rgbColor rgb="FF3366FF"/>
      <rgbColor rgb="FF61CBF4"/>
      <rgbColor rgb="FF92D050"/>
      <rgbColor rgb="FFFFC000"/>
      <rgbColor rgb="FFF2F2F2"/>
      <rgbColor rgb="FFFF6600"/>
      <rgbColor rgb="FF595959"/>
      <rgbColor rgb="FFA6A6A6"/>
      <rgbColor rgb="FF0E2841"/>
      <rgbColor rgb="FF339966"/>
      <rgbColor rgb="FF003300"/>
      <rgbColor rgb="FF333300"/>
      <rgbColor rgb="FF993300"/>
      <rgbColor rgb="FF993366"/>
      <rgbColor rgb="FF1F4E78"/>
      <rgbColor rgb="FF084F6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3"/>
  <sheetViews>
    <sheetView zoomScale="70" zoomScaleNormal="70" workbookViewId="0">
      <pane ySplit="1" topLeftCell="A2" activePane="bottomLeft" state="frozen"/>
      <selection pane="bottomLeft" activeCell="E5" sqref="E5"/>
    </sheetView>
  </sheetViews>
  <sheetFormatPr defaultColWidth="12.28515625" defaultRowHeight="14.45"/>
  <cols>
    <col min="1" max="3" width="13.42578125" customWidth="1"/>
    <col min="4" max="4" width="14.7109375" customWidth="1"/>
    <col min="5" max="5" width="50.5703125" customWidth="1"/>
    <col min="6" max="6" width="66.7109375" customWidth="1"/>
    <col min="7" max="7" width="12" customWidth="1"/>
    <col min="8" max="8" width="15.7109375" customWidth="1"/>
    <col min="9" max="9" width="20.28515625" customWidth="1"/>
    <col min="10" max="10" width="59.85546875" customWidth="1"/>
    <col min="11" max="11" width="50.5703125" customWidth="1"/>
    <col min="12" max="12" width="16" customWidth="1"/>
    <col min="13" max="13" width="50" customWidth="1"/>
    <col min="14" max="15" width="28" customWidth="1"/>
  </cols>
  <sheetData>
    <row r="1" spans="1:15" ht="1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/>
      <c r="L1" s="6" t="s">
        <v>10</v>
      </c>
      <c r="M1" s="6" t="s">
        <v>11</v>
      </c>
      <c r="N1" s="6" t="s">
        <v>12</v>
      </c>
      <c r="O1" s="6" t="s">
        <v>13</v>
      </c>
    </row>
    <row r="2" spans="1:15">
      <c r="A2" t="s">
        <v>14</v>
      </c>
      <c r="D2" t="s">
        <v>4</v>
      </c>
      <c r="E2" t="s">
        <v>15</v>
      </c>
      <c r="F2" t="s">
        <v>16</v>
      </c>
      <c r="G2" t="str">
        <f>_xlfn.XLOOKUP(F2,'NPO Caseware'!G:G,'NPO Caseware'!H:H)</f>
        <v>HCLLP WP</v>
      </c>
      <c r="H2" t="str">
        <f>_xlfn.XLOOKUP(F2,'NPO Caseware'!G:G,'NPO Caseware'!I:I)</f>
        <v>PDF</v>
      </c>
      <c r="L2" s="7" t="s">
        <v>17</v>
      </c>
      <c r="M2" s="8" t="s">
        <v>18</v>
      </c>
      <c r="N2" s="8"/>
      <c r="O2" s="8"/>
    </row>
    <row r="3" spans="1:15">
      <c r="A3" t="s">
        <v>19</v>
      </c>
      <c r="D3" t="s">
        <v>4</v>
      </c>
      <c r="E3" t="s">
        <v>15</v>
      </c>
      <c r="F3" t="s">
        <v>20</v>
      </c>
      <c r="G3" t="str">
        <f>_xlfn.XLOOKUP(F3,'NPO Caseware'!G:G,'NPO Caseware'!H:H)</f>
        <v>HCLLP WP</v>
      </c>
      <c r="H3" t="str">
        <f>_xlfn.XLOOKUP(F3,'NPO Caseware'!G:G,'NPO Caseware'!I:I)</f>
        <v>PDF</v>
      </c>
      <c r="L3" s="7" t="s">
        <v>17</v>
      </c>
      <c r="M3" s="8" t="s">
        <v>21</v>
      </c>
      <c r="N3" s="8"/>
      <c r="O3" s="8"/>
    </row>
    <row r="4" spans="1:15">
      <c r="A4" t="s">
        <v>22</v>
      </c>
      <c r="D4" t="s">
        <v>4</v>
      </c>
      <c r="E4" t="s">
        <v>15</v>
      </c>
      <c r="F4" t="s">
        <v>23</v>
      </c>
      <c r="G4" t="str">
        <f>_xlfn.XLOOKUP(F4,'NPO Caseware'!G:G,'NPO Caseware'!H:H)</f>
        <v>HCLLP WP</v>
      </c>
      <c r="H4" t="str">
        <f>_xlfn.XLOOKUP(F4,'NPO Caseware'!G:G,'NPO Caseware'!I:I)</f>
        <v>Excel</v>
      </c>
      <c r="L4" s="7" t="s">
        <v>17</v>
      </c>
      <c r="M4" s="8" t="s">
        <v>24</v>
      </c>
      <c r="N4" s="8"/>
      <c r="O4" s="8"/>
    </row>
    <row r="5" spans="1:15">
      <c r="A5" t="s">
        <v>25</v>
      </c>
      <c r="D5" t="s">
        <v>4</v>
      </c>
      <c r="E5" t="s">
        <v>15</v>
      </c>
      <c r="F5" t="s">
        <v>26</v>
      </c>
      <c r="G5" t="str">
        <f>_xlfn.XLOOKUP(F5,'NPO Caseware'!G:G,'NPO Caseware'!H:H)</f>
        <v>PPC</v>
      </c>
      <c r="H5" t="str">
        <f>_xlfn.XLOOKUP(F5,'NPO Caseware'!G:G,'NPO Caseware'!I:I)</f>
        <v>Word</v>
      </c>
      <c r="I5" t="s">
        <v>27</v>
      </c>
      <c r="L5" s="7" t="s">
        <v>17</v>
      </c>
      <c r="M5" s="8" t="s">
        <v>28</v>
      </c>
      <c r="N5" s="8"/>
      <c r="O5" s="8"/>
    </row>
    <row r="6" spans="1:15" ht="26.45">
      <c r="A6" t="s">
        <v>29</v>
      </c>
      <c r="D6" t="s">
        <v>4</v>
      </c>
      <c r="E6" t="s">
        <v>15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L6" s="7" t="s">
        <v>17</v>
      </c>
      <c r="M6" s="8" t="s">
        <v>35</v>
      </c>
      <c r="N6" s="8"/>
      <c r="O6" s="8"/>
    </row>
    <row r="7" spans="1:15">
      <c r="A7" t="s">
        <v>36</v>
      </c>
      <c r="D7" t="s">
        <v>4</v>
      </c>
      <c r="E7" t="s">
        <v>15</v>
      </c>
      <c r="F7" t="s">
        <v>37</v>
      </c>
      <c r="G7" t="s">
        <v>31</v>
      </c>
      <c r="H7" t="s">
        <v>32</v>
      </c>
      <c r="I7" t="s">
        <v>38</v>
      </c>
      <c r="L7" s="7" t="s">
        <v>17</v>
      </c>
      <c r="M7" s="8" t="s">
        <v>39</v>
      </c>
      <c r="N7" s="8"/>
      <c r="O7" s="8"/>
    </row>
    <row r="8" spans="1:15">
      <c r="A8" t="s">
        <v>40</v>
      </c>
      <c r="D8" t="s">
        <v>4</v>
      </c>
      <c r="E8" t="s">
        <v>15</v>
      </c>
      <c r="F8" t="s">
        <v>41</v>
      </c>
      <c r="G8" t="str">
        <f>_xlfn.XLOOKUP(F8,'NPO Caseware'!G:G,'NPO Caseware'!H:H)</f>
        <v>PBC</v>
      </c>
      <c r="H8" t="str">
        <f>_xlfn.XLOOKUP(F8,'NPO Caseware'!G:G,'NPO Caseware'!I:I)</f>
        <v>PDF</v>
      </c>
      <c r="L8" s="7" t="s">
        <v>17</v>
      </c>
      <c r="M8" s="8" t="s">
        <v>42</v>
      </c>
      <c r="N8" s="8"/>
      <c r="O8" s="8"/>
    </row>
    <row r="9" spans="1:15">
      <c r="A9" t="s">
        <v>43</v>
      </c>
      <c r="D9" t="s">
        <v>4</v>
      </c>
      <c r="E9" t="s">
        <v>15</v>
      </c>
      <c r="F9" t="s">
        <v>44</v>
      </c>
      <c r="G9" t="str">
        <f>_xlfn.XLOOKUP(F9,'NPO Caseware'!G:G,'NPO Caseware'!H:H)</f>
        <v>PPC</v>
      </c>
      <c r="H9" t="str">
        <f>_xlfn.XLOOKUP(F9,'NPO Caseware'!G:G,'NPO Caseware'!I:I)</f>
        <v>Word</v>
      </c>
      <c r="I9" t="s">
        <v>45</v>
      </c>
      <c r="L9" s="7" t="s">
        <v>17</v>
      </c>
      <c r="M9" s="8" t="s">
        <v>42</v>
      </c>
      <c r="N9" s="8"/>
      <c r="O9" s="8"/>
    </row>
    <row r="10" spans="1:15" ht="26.45">
      <c r="A10" t="s">
        <v>46</v>
      </c>
      <c r="D10" t="s">
        <v>4</v>
      </c>
      <c r="E10" t="s">
        <v>15</v>
      </c>
      <c r="F10" t="s">
        <v>47</v>
      </c>
      <c r="G10" t="str">
        <f>_xlfn.XLOOKUP(F10,'NPO Caseware'!G:G,'NPO Caseware'!H:H)</f>
        <v>HCLLP WP</v>
      </c>
      <c r="H10" t="str">
        <f>_xlfn.XLOOKUP(F10,'NPO Caseware'!G:G,'NPO Caseware'!I:I)</f>
        <v>PDF</v>
      </c>
      <c r="L10" s="7" t="s">
        <v>17</v>
      </c>
      <c r="M10" s="8" t="s">
        <v>35</v>
      </c>
      <c r="N10" s="8"/>
      <c r="O10" s="8"/>
    </row>
    <row r="11" spans="1:15">
      <c r="A11" t="s">
        <v>48</v>
      </c>
      <c r="D11" t="s">
        <v>4</v>
      </c>
      <c r="E11" t="s">
        <v>15</v>
      </c>
      <c r="F11" t="s">
        <v>49</v>
      </c>
      <c r="G11" t="str">
        <f>_xlfn.XLOOKUP(F11,'NPO Caseware'!G:G,'NPO Caseware'!H:H)</f>
        <v>HCLLP WP</v>
      </c>
      <c r="H11" t="str">
        <f>_xlfn.XLOOKUP(F11,'NPO Caseware'!G:G,'NPO Caseware'!I:I)</f>
        <v>PDF</v>
      </c>
      <c r="L11" s="7" t="s">
        <v>17</v>
      </c>
      <c r="M11" s="8" t="s">
        <v>18</v>
      </c>
      <c r="N11" s="8"/>
      <c r="O11" s="8"/>
    </row>
    <row r="12" spans="1:15">
      <c r="A12" t="s">
        <v>50</v>
      </c>
      <c r="D12" t="s">
        <v>4</v>
      </c>
      <c r="E12" t="s">
        <v>15</v>
      </c>
      <c r="F12" t="s">
        <v>51</v>
      </c>
      <c r="G12" t="str">
        <f>_xlfn.XLOOKUP(F12,'NPO Caseware'!G:G,'NPO Caseware'!H:H)</f>
        <v>PPC</v>
      </c>
      <c r="H12" t="str">
        <f>_xlfn.XLOOKUP(F12,'NPO Caseware'!G:G,'NPO Caseware'!I:I)</f>
        <v>Word</v>
      </c>
      <c r="I12" t="s">
        <v>52</v>
      </c>
      <c r="L12" s="7" t="s">
        <v>17</v>
      </c>
      <c r="M12" s="8" t="s">
        <v>53</v>
      </c>
      <c r="N12" s="8"/>
      <c r="O12" s="8"/>
    </row>
    <row r="13" spans="1:15" ht="26.45">
      <c r="A13" t="s">
        <v>54</v>
      </c>
      <c r="D13" t="s">
        <v>4</v>
      </c>
      <c r="E13" t="s">
        <v>15</v>
      </c>
      <c r="F13" t="s">
        <v>55</v>
      </c>
      <c r="G13" t="str">
        <f>_xlfn.XLOOKUP(F13,'NPO Caseware'!G:G,'NPO Caseware'!H:H)</f>
        <v>HCLLP WP</v>
      </c>
      <c r="H13" t="str">
        <f>_xlfn.XLOOKUP(F13,'NPO Caseware'!G:G,'NPO Caseware'!I:I)</f>
        <v>PPT</v>
      </c>
      <c r="L13" s="7" t="s">
        <v>17</v>
      </c>
      <c r="M13" s="8" t="s">
        <v>35</v>
      </c>
      <c r="N13" s="8"/>
      <c r="O13" s="8"/>
    </row>
    <row r="14" spans="1:15">
      <c r="A14" t="s">
        <v>56</v>
      </c>
      <c r="D14" t="s">
        <v>4</v>
      </c>
      <c r="E14" t="s">
        <v>15</v>
      </c>
      <c r="F14" t="s">
        <v>57</v>
      </c>
      <c r="G14" t="s">
        <v>58</v>
      </c>
      <c r="H14" t="s">
        <v>59</v>
      </c>
      <c r="L14" s="7" t="s">
        <v>17</v>
      </c>
      <c r="M14" s="8" t="s">
        <v>60</v>
      </c>
      <c r="N14" s="8"/>
      <c r="O14" s="8"/>
    </row>
    <row r="15" spans="1:15">
      <c r="A15" t="s">
        <v>61</v>
      </c>
      <c r="D15" t="s">
        <v>4</v>
      </c>
      <c r="E15" t="s">
        <v>15</v>
      </c>
      <c r="F15" t="s">
        <v>62</v>
      </c>
      <c r="G15" t="s">
        <v>58</v>
      </c>
      <c r="H15" t="s">
        <v>59</v>
      </c>
      <c r="L15" s="7" t="s">
        <v>17</v>
      </c>
      <c r="M15" s="8" t="s">
        <v>60</v>
      </c>
      <c r="N15" s="8"/>
      <c r="O15" s="8"/>
    </row>
    <row r="16" spans="1:15">
      <c r="A16" t="s">
        <v>63</v>
      </c>
      <c r="D16" t="s">
        <v>4</v>
      </c>
      <c r="E16" t="s">
        <v>15</v>
      </c>
      <c r="F16" t="s">
        <v>64</v>
      </c>
      <c r="G16" t="s">
        <v>58</v>
      </c>
      <c r="H16" t="s">
        <v>59</v>
      </c>
      <c r="L16" s="7" t="s">
        <v>17</v>
      </c>
      <c r="M16" s="8" t="s">
        <v>60</v>
      </c>
      <c r="N16" s="8"/>
      <c r="O16" s="8"/>
    </row>
    <row r="17" spans="1:15">
      <c r="A17" t="s">
        <v>65</v>
      </c>
      <c r="D17" t="s">
        <v>4</v>
      </c>
      <c r="E17" t="s">
        <v>15</v>
      </c>
      <c r="F17" t="s">
        <v>66</v>
      </c>
      <c r="G17" t="s">
        <v>58</v>
      </c>
      <c r="H17" t="s">
        <v>59</v>
      </c>
      <c r="L17" s="7" t="s">
        <v>17</v>
      </c>
      <c r="M17" s="8" t="s">
        <v>60</v>
      </c>
      <c r="N17" s="8"/>
      <c r="O17" s="8"/>
    </row>
    <row r="18" spans="1:15" ht="26.45">
      <c r="A18" t="s">
        <v>67</v>
      </c>
      <c r="D18" t="s">
        <v>4</v>
      </c>
      <c r="E18" t="s">
        <v>15</v>
      </c>
      <c r="F18" t="s">
        <v>68</v>
      </c>
      <c r="G18" t="str">
        <f>_xlfn.XLOOKUP(F18,'NPO Caseware'!G:G,'NPO Caseware'!H:H)</f>
        <v>PPC</v>
      </c>
      <c r="H18" t="str">
        <f>_xlfn.XLOOKUP(F18,'NPO Caseware'!G:G,'NPO Caseware'!I:I)</f>
        <v>Word</v>
      </c>
      <c r="I18" t="s">
        <v>69</v>
      </c>
      <c r="L18" s="7" t="s">
        <v>17</v>
      </c>
      <c r="M18" s="8" t="s">
        <v>35</v>
      </c>
      <c r="N18" s="8"/>
      <c r="O18" s="8"/>
    </row>
    <row r="19" spans="1:15">
      <c r="A19" t="s">
        <v>70</v>
      </c>
      <c r="D19" t="s">
        <v>4</v>
      </c>
      <c r="E19" t="s">
        <v>15</v>
      </c>
      <c r="F19" t="s">
        <v>71</v>
      </c>
      <c r="G19" t="str">
        <f>_xlfn.XLOOKUP(F19,'NPO Caseware'!G:G,'NPO Caseware'!H:H)</f>
        <v>PPC</v>
      </c>
      <c r="H19" t="str">
        <f>_xlfn.XLOOKUP(F19,'NPO Caseware'!G:G,'NPO Caseware'!I:I)</f>
        <v>Word</v>
      </c>
      <c r="I19" t="s">
        <v>72</v>
      </c>
      <c r="L19" s="7" t="s">
        <v>17</v>
      </c>
      <c r="M19" s="8" t="s">
        <v>73</v>
      </c>
      <c r="N19" s="8"/>
      <c r="O19" s="8"/>
    </row>
    <row r="20" spans="1:15" ht="26.45">
      <c r="A20" t="s">
        <v>74</v>
      </c>
      <c r="D20" t="s">
        <v>4</v>
      </c>
      <c r="E20" t="s">
        <v>15</v>
      </c>
      <c r="F20" t="s">
        <v>75</v>
      </c>
      <c r="G20" t="str">
        <f>_xlfn.XLOOKUP(F20,'NPO Caseware'!G:G,'NPO Caseware'!H:H)</f>
        <v>PBC</v>
      </c>
      <c r="H20" t="str">
        <f>_xlfn.XLOOKUP(F20,'NPO Caseware'!G:G,'NPO Caseware'!I:I)</f>
        <v>PDF</v>
      </c>
      <c r="L20" s="7" t="s">
        <v>17</v>
      </c>
      <c r="M20" s="8" t="s">
        <v>35</v>
      </c>
      <c r="N20" s="8"/>
      <c r="O20" s="8"/>
    </row>
    <row r="21" spans="1:15" ht="26.45">
      <c r="A21" t="s">
        <v>76</v>
      </c>
      <c r="D21" t="s">
        <v>4</v>
      </c>
      <c r="E21" t="s">
        <v>15</v>
      </c>
      <c r="F21" t="s">
        <v>77</v>
      </c>
      <c r="G21" t="str">
        <f>_xlfn.XLOOKUP(F21,'NPO Caseware'!G:G,'NPO Caseware'!H:H)</f>
        <v>PBC</v>
      </c>
      <c r="H21" t="str">
        <f>_xlfn.XLOOKUP(F21,'NPO Caseware'!G:G,'NPO Caseware'!I:I)</f>
        <v>PDF</v>
      </c>
      <c r="L21" s="7" t="s">
        <v>17</v>
      </c>
      <c r="M21" s="8" t="s">
        <v>35</v>
      </c>
      <c r="N21" s="8"/>
      <c r="O21" s="8"/>
    </row>
    <row r="22" spans="1:15" ht="26.45">
      <c r="A22" t="s">
        <v>78</v>
      </c>
      <c r="D22" t="s">
        <v>4</v>
      </c>
      <c r="E22" t="s">
        <v>15</v>
      </c>
      <c r="F22" t="s">
        <v>79</v>
      </c>
      <c r="G22" t="str">
        <f>_xlfn.XLOOKUP(F22,'NPO Caseware'!G:G,'NPO Caseware'!H:H)</f>
        <v>PBC</v>
      </c>
      <c r="H22" t="str">
        <f>_xlfn.XLOOKUP(F22,'NPO Caseware'!G:G,'NPO Caseware'!I:I)</f>
        <v>PDF</v>
      </c>
      <c r="L22" s="7" t="s">
        <v>17</v>
      </c>
      <c r="M22" s="8" t="s">
        <v>35</v>
      </c>
      <c r="N22" s="8"/>
      <c r="O22" s="8"/>
    </row>
    <row r="23" spans="1:15">
      <c r="A23" t="s">
        <v>80</v>
      </c>
      <c r="D23" t="s">
        <v>4</v>
      </c>
      <c r="E23" t="s">
        <v>15</v>
      </c>
      <c r="F23" t="s">
        <v>81</v>
      </c>
      <c r="G23" t="s">
        <v>82</v>
      </c>
      <c r="H23" t="s">
        <v>83</v>
      </c>
      <c r="L23" s="7" t="s">
        <v>17</v>
      </c>
      <c r="M23" s="8" t="s">
        <v>84</v>
      </c>
      <c r="N23" s="8"/>
      <c r="O23" s="8"/>
    </row>
    <row r="24" spans="1:15">
      <c r="A24" t="s">
        <v>85</v>
      </c>
      <c r="D24" t="s">
        <v>4</v>
      </c>
      <c r="E24" t="s">
        <v>15</v>
      </c>
      <c r="F24" t="s">
        <v>86</v>
      </c>
      <c r="G24" t="s">
        <v>31</v>
      </c>
      <c r="H24" t="s">
        <v>32</v>
      </c>
      <c r="I24" t="s">
        <v>87</v>
      </c>
      <c r="L24" s="7" t="s">
        <v>17</v>
      </c>
      <c r="M24" s="8" t="s">
        <v>84</v>
      </c>
      <c r="N24" s="8"/>
      <c r="O24" s="8"/>
    </row>
    <row r="25" spans="1:15">
      <c r="A25" t="s">
        <v>88</v>
      </c>
      <c r="D25" t="s">
        <v>4</v>
      </c>
      <c r="E25" t="s">
        <v>15</v>
      </c>
      <c r="F25" t="s">
        <v>89</v>
      </c>
      <c r="G25" t="s">
        <v>31</v>
      </c>
      <c r="H25" t="s">
        <v>32</v>
      </c>
      <c r="I25" t="s">
        <v>90</v>
      </c>
      <c r="L25" s="7" t="s">
        <v>17</v>
      </c>
      <c r="M25" s="8" t="s">
        <v>84</v>
      </c>
      <c r="N25" s="8"/>
      <c r="O25" s="8"/>
    </row>
    <row r="26" spans="1:15">
      <c r="A26" t="s">
        <v>91</v>
      </c>
      <c r="D26" t="s">
        <v>4</v>
      </c>
      <c r="E26" t="s">
        <v>15</v>
      </c>
      <c r="F26" t="s">
        <v>92</v>
      </c>
      <c r="G26" t="s">
        <v>82</v>
      </c>
      <c r="H26" t="s">
        <v>83</v>
      </c>
      <c r="L26" s="7" t="s">
        <v>17</v>
      </c>
      <c r="M26" s="8" t="s">
        <v>84</v>
      </c>
      <c r="N26" s="8"/>
      <c r="O26" s="8"/>
    </row>
    <row r="27" spans="1:15">
      <c r="A27" t="s">
        <v>93</v>
      </c>
      <c r="D27" t="s">
        <v>94</v>
      </c>
      <c r="E27" t="s">
        <v>95</v>
      </c>
      <c r="F27" t="s">
        <v>96</v>
      </c>
      <c r="G27" t="str">
        <f>_xlfn.XLOOKUP(F27,'NPO Caseware'!G:G,'NPO Caseware'!H:H)</f>
        <v>HCLLP WP</v>
      </c>
      <c r="H27" t="str">
        <f>_xlfn.XLOOKUP(F27,'NPO Caseware'!G:G,'NPO Caseware'!I:I)</f>
        <v xml:space="preserve">Caseview </v>
      </c>
      <c r="L27" s="7" t="s">
        <v>17</v>
      </c>
      <c r="M27" s="8" t="s">
        <v>97</v>
      </c>
      <c r="N27" s="8"/>
      <c r="O27" s="8"/>
    </row>
    <row r="28" spans="1:15" ht="26.45">
      <c r="A28" t="s">
        <v>98</v>
      </c>
      <c r="D28" t="s">
        <v>94</v>
      </c>
      <c r="E28" t="s">
        <v>95</v>
      </c>
      <c r="F28" t="s">
        <v>99</v>
      </c>
      <c r="G28" t="str">
        <f>_xlfn.XLOOKUP(F28,'NPO Caseware'!G:G,'NPO Caseware'!H:H)</f>
        <v>PBC</v>
      </c>
      <c r="H28" t="str">
        <f>_xlfn.XLOOKUP(F28,'NPO Caseware'!G:G,'NPO Caseware'!I:I)</f>
        <v>Word</v>
      </c>
      <c r="L28" s="7" t="s">
        <v>17</v>
      </c>
      <c r="M28" s="8" t="s">
        <v>100</v>
      </c>
      <c r="N28" s="8"/>
      <c r="O28" s="8"/>
    </row>
    <row r="29" spans="1:15">
      <c r="A29" t="s">
        <v>101</v>
      </c>
      <c r="D29" t="s">
        <v>94</v>
      </c>
      <c r="E29" t="s">
        <v>95</v>
      </c>
      <c r="F29" t="s">
        <v>102</v>
      </c>
      <c r="G29" t="str">
        <f>_xlfn.XLOOKUP(F29,'NPO Caseware'!G:G,'NPO Caseware'!H:H)</f>
        <v>HCLLP WP</v>
      </c>
      <c r="H29" t="str">
        <f>_xlfn.XLOOKUP(F29,'NPO Caseware'!G:G,'NPO Caseware'!I:I)</f>
        <v xml:space="preserve">Caseview </v>
      </c>
      <c r="L29" s="7" t="s">
        <v>17</v>
      </c>
      <c r="M29" s="8" t="s">
        <v>97</v>
      </c>
      <c r="N29" s="8"/>
      <c r="O29" s="8"/>
    </row>
    <row r="30" spans="1:15">
      <c r="A30" t="s">
        <v>103</v>
      </c>
      <c r="D30" t="s">
        <v>94</v>
      </c>
      <c r="E30" t="s">
        <v>95</v>
      </c>
      <c r="F30" t="s">
        <v>104</v>
      </c>
      <c r="G30" t="str">
        <f>_xlfn.XLOOKUP(F30,'NPO Caseware'!G:G,'NPO Caseware'!H:H)</f>
        <v>HCLLP WP</v>
      </c>
      <c r="H30" t="str">
        <f>_xlfn.XLOOKUP(F30,'NPO Caseware'!G:G,'NPO Caseware'!I:I)</f>
        <v xml:space="preserve">Caseview </v>
      </c>
      <c r="L30" s="7" t="s">
        <v>17</v>
      </c>
      <c r="M30" s="8" t="s">
        <v>97</v>
      </c>
      <c r="N30" s="8"/>
      <c r="O30" s="8"/>
    </row>
    <row r="31" spans="1:15">
      <c r="A31" t="s">
        <v>105</v>
      </c>
      <c r="D31" t="s">
        <v>94</v>
      </c>
      <c r="E31" t="s">
        <v>95</v>
      </c>
      <c r="F31" t="s">
        <v>106</v>
      </c>
      <c r="G31" t="str">
        <f>_xlfn.XLOOKUP(F31,'NPO Caseware'!G:G,'NPO Caseware'!H:H)</f>
        <v>PPC</v>
      </c>
      <c r="H31" t="str">
        <f>_xlfn.XLOOKUP(F31,'NPO Caseware'!G:G,'NPO Caseware'!I:I)</f>
        <v>Word</v>
      </c>
      <c r="I31" t="s">
        <v>107</v>
      </c>
      <c r="L31" s="7" t="s">
        <v>17</v>
      </c>
      <c r="M31" s="8" t="s">
        <v>108</v>
      </c>
      <c r="N31" s="8"/>
      <c r="O31" s="8"/>
    </row>
    <row r="32" spans="1:15" ht="26.45">
      <c r="A32" t="s">
        <v>109</v>
      </c>
      <c r="D32" t="s">
        <v>94</v>
      </c>
      <c r="E32" t="s">
        <v>95</v>
      </c>
      <c r="F32" t="s">
        <v>110</v>
      </c>
      <c r="G32" t="str">
        <f>_xlfn.XLOOKUP(F32,'NPO Caseware'!G:G,'NPO Caseware'!H:H)</f>
        <v>PPC</v>
      </c>
      <c r="H32" t="str">
        <f>_xlfn.XLOOKUP(F32,'NPO Caseware'!G:G,'NPO Caseware'!I:I)</f>
        <v>Word</v>
      </c>
      <c r="L32" s="7" t="s">
        <v>17</v>
      </c>
      <c r="M32" s="8" t="s">
        <v>100</v>
      </c>
      <c r="N32" s="8"/>
      <c r="O32" s="8"/>
    </row>
    <row r="33" spans="1:15">
      <c r="A33" t="s">
        <v>111</v>
      </c>
      <c r="D33" t="s">
        <v>94</v>
      </c>
      <c r="E33" t="s">
        <v>95</v>
      </c>
      <c r="F33" t="s">
        <v>112</v>
      </c>
      <c r="G33" t="str">
        <f>_xlfn.XLOOKUP(F33,'NPO Caseware'!G:G,'NPO Caseware'!H:H)</f>
        <v>HCLLP WP</v>
      </c>
      <c r="H33" t="str">
        <f>_xlfn.XLOOKUP(F33,'NPO Caseware'!G:G,'NPO Caseware'!I:I)</f>
        <v>Word</v>
      </c>
      <c r="L33" s="7" t="s">
        <v>17</v>
      </c>
      <c r="M33" s="8" t="s">
        <v>97</v>
      </c>
      <c r="N33" s="8"/>
      <c r="O33" s="8"/>
    </row>
    <row r="34" spans="1:15">
      <c r="A34" t="s">
        <v>113</v>
      </c>
      <c r="D34" t="s">
        <v>114</v>
      </c>
      <c r="E34" t="s">
        <v>115</v>
      </c>
      <c r="F34" t="s">
        <v>116</v>
      </c>
      <c r="G34" t="s">
        <v>58</v>
      </c>
      <c r="H34" t="s">
        <v>117</v>
      </c>
      <c r="L34" s="7" t="s">
        <v>17</v>
      </c>
      <c r="M34" s="8" t="s">
        <v>118</v>
      </c>
      <c r="N34" s="8"/>
      <c r="O34" s="8"/>
    </row>
    <row r="35" spans="1:15">
      <c r="A35" t="s">
        <v>119</v>
      </c>
      <c r="D35" t="s">
        <v>114</v>
      </c>
      <c r="E35" t="s">
        <v>115</v>
      </c>
      <c r="F35" t="s">
        <v>120</v>
      </c>
      <c r="G35" t="s">
        <v>58</v>
      </c>
      <c r="H35" t="s">
        <v>117</v>
      </c>
      <c r="L35" s="7" t="s">
        <v>17</v>
      </c>
      <c r="M35" s="8" t="s">
        <v>118</v>
      </c>
      <c r="N35" s="8"/>
      <c r="O35" s="8"/>
    </row>
    <row r="36" spans="1:15">
      <c r="A36" t="s">
        <v>121</v>
      </c>
      <c r="D36" t="s">
        <v>114</v>
      </c>
      <c r="E36" t="s">
        <v>115</v>
      </c>
      <c r="F36" t="s">
        <v>122</v>
      </c>
      <c r="G36" t="s">
        <v>58</v>
      </c>
      <c r="H36" t="s">
        <v>117</v>
      </c>
      <c r="L36" s="7" t="s">
        <v>17</v>
      </c>
      <c r="M36" s="8" t="s">
        <v>118</v>
      </c>
      <c r="N36" s="8"/>
      <c r="O36" s="8"/>
    </row>
    <row r="37" spans="1:15">
      <c r="A37" t="s">
        <v>123</v>
      </c>
      <c r="D37" t="s">
        <v>114</v>
      </c>
      <c r="E37" t="s">
        <v>115</v>
      </c>
      <c r="F37" t="s">
        <v>124</v>
      </c>
      <c r="G37" t="s">
        <v>58</v>
      </c>
      <c r="H37" t="s">
        <v>117</v>
      </c>
      <c r="L37" s="7" t="s">
        <v>17</v>
      </c>
      <c r="M37" s="8" t="s">
        <v>118</v>
      </c>
      <c r="N37" s="8"/>
      <c r="O37" s="8"/>
    </row>
    <row r="38" spans="1:15">
      <c r="A38" t="s">
        <v>125</v>
      </c>
      <c r="D38" t="s">
        <v>114</v>
      </c>
      <c r="E38" t="s">
        <v>115</v>
      </c>
      <c r="F38" t="s">
        <v>126</v>
      </c>
      <c r="G38" s="9" t="s">
        <v>58</v>
      </c>
      <c r="H38" s="9" t="s">
        <v>59</v>
      </c>
      <c r="L38" s="7" t="s">
        <v>17</v>
      </c>
      <c r="M38" s="8" t="s">
        <v>118</v>
      </c>
      <c r="N38" s="8"/>
      <c r="O38" s="8"/>
    </row>
    <row r="39" spans="1:15">
      <c r="A39" t="s">
        <v>127</v>
      </c>
      <c r="D39" t="s">
        <v>114</v>
      </c>
      <c r="E39" t="s">
        <v>115</v>
      </c>
      <c r="F39" t="s">
        <v>128</v>
      </c>
      <c r="G39" t="str">
        <f>_xlfn.XLOOKUP(F39,'NPO Caseware'!G:G,'NPO Caseware'!H:H)</f>
        <v>HCLLP WP</v>
      </c>
      <c r="H39" t="str">
        <f>_xlfn.XLOOKUP(F39,'NPO Caseware'!G:G,'NPO Caseware'!I:I)</f>
        <v>LeadSheet</v>
      </c>
      <c r="L39" s="7" t="s">
        <v>17</v>
      </c>
      <c r="M39" s="8" t="s">
        <v>129</v>
      </c>
      <c r="N39" s="8"/>
      <c r="O39" s="8"/>
    </row>
    <row r="40" spans="1:15" ht="26.45">
      <c r="A40" t="s">
        <v>130</v>
      </c>
      <c r="D40" t="s">
        <v>114</v>
      </c>
      <c r="E40" t="s">
        <v>115</v>
      </c>
      <c r="F40" t="s">
        <v>131</v>
      </c>
      <c r="G40" t="str">
        <f>_xlfn.XLOOKUP(F40,'NPO Caseware'!G:G,'NPO Caseware'!H:H)</f>
        <v>HCLLP WP</v>
      </c>
      <c r="H40" t="str">
        <f>_xlfn.XLOOKUP(F40,'NPO Caseware'!G:G,'NPO Caseware'!I:I)</f>
        <v>LeadSheet</v>
      </c>
      <c r="L40" s="7" t="s">
        <v>17</v>
      </c>
      <c r="M40" s="8" t="s">
        <v>132</v>
      </c>
      <c r="N40" s="8"/>
      <c r="O40" s="8"/>
    </row>
    <row r="41" spans="1:15">
      <c r="A41" t="s">
        <v>133</v>
      </c>
      <c r="D41" t="s">
        <v>114</v>
      </c>
      <c r="E41" t="s">
        <v>115</v>
      </c>
      <c r="F41" t="s">
        <v>134</v>
      </c>
      <c r="G41" t="str">
        <f>_xlfn.XLOOKUP(F41,'NPO Caseware'!G:G,'NPO Caseware'!H:H)</f>
        <v>HCLLP WP</v>
      </c>
      <c r="H41" t="str">
        <f>_xlfn.XLOOKUP(F41,'NPO Caseware'!G:G,'NPO Caseware'!I:I)</f>
        <v>LeadSheet</v>
      </c>
      <c r="L41" s="7" t="s">
        <v>17</v>
      </c>
      <c r="M41" s="8" t="s">
        <v>129</v>
      </c>
      <c r="N41" s="8"/>
      <c r="O41" s="8"/>
    </row>
    <row r="42" spans="1:15">
      <c r="A42" t="s">
        <v>135</v>
      </c>
      <c r="D42" t="s">
        <v>114</v>
      </c>
      <c r="E42" t="s">
        <v>115</v>
      </c>
      <c r="F42" t="s">
        <v>136</v>
      </c>
      <c r="G42" t="s">
        <v>31</v>
      </c>
      <c r="H42" t="s">
        <v>32</v>
      </c>
      <c r="I42" t="s">
        <v>137</v>
      </c>
      <c r="L42" s="7" t="s">
        <v>17</v>
      </c>
      <c r="M42" s="8" t="s">
        <v>138</v>
      </c>
      <c r="N42" s="8"/>
      <c r="O42" s="8"/>
    </row>
    <row r="43" spans="1:15">
      <c r="A43" t="s">
        <v>139</v>
      </c>
      <c r="D43" t="s">
        <v>114</v>
      </c>
      <c r="E43" t="s">
        <v>115</v>
      </c>
      <c r="F43" t="s">
        <v>140</v>
      </c>
      <c r="G43" t="s">
        <v>31</v>
      </c>
      <c r="H43" t="s">
        <v>32</v>
      </c>
      <c r="I43" t="s">
        <v>137</v>
      </c>
      <c r="L43" s="7" t="s">
        <v>17</v>
      </c>
      <c r="M43" s="8" t="s">
        <v>138</v>
      </c>
      <c r="N43" s="8"/>
      <c r="O43" s="8"/>
    </row>
    <row r="44" spans="1:15">
      <c r="A44" t="s">
        <v>141</v>
      </c>
      <c r="D44" t="s">
        <v>114</v>
      </c>
      <c r="E44" t="s">
        <v>115</v>
      </c>
      <c r="F44" t="s">
        <v>142</v>
      </c>
      <c r="G44" t="s">
        <v>31</v>
      </c>
      <c r="H44" t="s">
        <v>32</v>
      </c>
      <c r="I44" t="s">
        <v>137</v>
      </c>
      <c r="L44" s="7" t="s">
        <v>17</v>
      </c>
      <c r="M44" s="8" t="s">
        <v>138</v>
      </c>
      <c r="N44" s="8"/>
      <c r="O44" s="8"/>
    </row>
    <row r="45" spans="1:15">
      <c r="A45" t="s">
        <v>143</v>
      </c>
      <c r="D45" t="s">
        <v>114</v>
      </c>
      <c r="E45" t="s">
        <v>115</v>
      </c>
      <c r="F45" t="s">
        <v>144</v>
      </c>
      <c r="G45" t="s">
        <v>31</v>
      </c>
      <c r="H45" t="s">
        <v>32</v>
      </c>
      <c r="I45" t="s">
        <v>137</v>
      </c>
      <c r="L45" s="7" t="s">
        <v>17</v>
      </c>
      <c r="M45" s="8" t="s">
        <v>138</v>
      </c>
      <c r="N45" s="8"/>
      <c r="O45" s="8"/>
    </row>
    <row r="46" spans="1:15">
      <c r="A46" t="s">
        <v>145</v>
      </c>
      <c r="D46" t="s">
        <v>146</v>
      </c>
      <c r="E46" t="s">
        <v>147</v>
      </c>
      <c r="F46" t="s">
        <v>148</v>
      </c>
      <c r="G46" t="str">
        <f>_xlfn.XLOOKUP(F46,'NPO Caseware'!G:G,'NPO Caseware'!H:H)</f>
        <v>PPC</v>
      </c>
      <c r="H46" t="str">
        <f>_xlfn.XLOOKUP(F46,'NPO Caseware'!G:G,'NPO Caseware'!I:I)</f>
        <v>Word</v>
      </c>
      <c r="I46" t="s">
        <v>149</v>
      </c>
      <c r="L46" s="7" t="s">
        <v>17</v>
      </c>
      <c r="M46" s="8" t="s">
        <v>28</v>
      </c>
      <c r="N46" s="8"/>
      <c r="O46" s="8"/>
    </row>
    <row r="47" spans="1:15">
      <c r="A47" t="s">
        <v>150</v>
      </c>
      <c r="D47" t="s">
        <v>146</v>
      </c>
      <c r="E47" t="s">
        <v>147</v>
      </c>
      <c r="F47" t="s">
        <v>151</v>
      </c>
      <c r="G47" t="str">
        <f>_xlfn.XLOOKUP(F47,'NPO Caseware'!G:G,'NPO Caseware'!H:H)</f>
        <v>PPC</v>
      </c>
      <c r="H47" t="str">
        <f>_xlfn.XLOOKUP(F47,'NPO Caseware'!G:G,'NPO Caseware'!I:I)</f>
        <v>Word</v>
      </c>
      <c r="I47" t="s">
        <v>152</v>
      </c>
      <c r="L47" s="7" t="s">
        <v>17</v>
      </c>
      <c r="M47" s="8" t="s">
        <v>153</v>
      </c>
      <c r="N47" s="8"/>
      <c r="O47" s="8"/>
    </row>
    <row r="48" spans="1:15">
      <c r="A48" t="s">
        <v>154</v>
      </c>
      <c r="D48" t="s">
        <v>146</v>
      </c>
      <c r="E48" t="s">
        <v>147</v>
      </c>
      <c r="F48" t="s">
        <v>155</v>
      </c>
      <c r="G48" t="str">
        <f>_xlfn.XLOOKUP(F48,'NPO Caseware'!G:G,'NPO Caseware'!H:H)</f>
        <v>PPC</v>
      </c>
      <c r="H48" t="str">
        <f>_xlfn.XLOOKUP(F48,'NPO Caseware'!G:G,'NPO Caseware'!I:I)</f>
        <v>Word</v>
      </c>
      <c r="I48" t="s">
        <v>156</v>
      </c>
      <c r="L48" s="7" t="s">
        <v>17</v>
      </c>
      <c r="M48" s="8" t="s">
        <v>157</v>
      </c>
      <c r="N48" s="8"/>
      <c r="O48" s="8"/>
    </row>
    <row r="49" spans="1:15">
      <c r="A49" t="s">
        <v>158</v>
      </c>
      <c r="D49" t="s">
        <v>146</v>
      </c>
      <c r="E49" t="s">
        <v>147</v>
      </c>
      <c r="F49" t="s">
        <v>159</v>
      </c>
      <c r="G49" t="str">
        <f>_xlfn.XLOOKUP(F49,'NPO Caseware'!G:G,'NPO Caseware'!H:H)</f>
        <v>PPC</v>
      </c>
      <c r="H49" t="str">
        <f>_xlfn.XLOOKUP(F49,'NPO Caseware'!G:G,'NPO Caseware'!I:I)</f>
        <v>Word</v>
      </c>
      <c r="I49" t="s">
        <v>160</v>
      </c>
      <c r="L49" s="7" t="s">
        <v>17</v>
      </c>
      <c r="M49" s="8" t="s">
        <v>161</v>
      </c>
      <c r="N49" s="8"/>
      <c r="O49" s="8"/>
    </row>
    <row r="50" spans="1:15">
      <c r="A50" t="s">
        <v>162</v>
      </c>
      <c r="D50" t="s">
        <v>146</v>
      </c>
      <c r="E50" t="s">
        <v>147</v>
      </c>
      <c r="F50" t="s">
        <v>163</v>
      </c>
      <c r="G50" t="s">
        <v>58</v>
      </c>
      <c r="H50" t="s">
        <v>83</v>
      </c>
      <c r="L50" s="7" t="s">
        <v>17</v>
      </c>
      <c r="M50" s="8" t="s">
        <v>153</v>
      </c>
      <c r="N50" s="8"/>
      <c r="O50" s="8"/>
    </row>
    <row r="51" spans="1:15">
      <c r="A51" t="s">
        <v>164</v>
      </c>
      <c r="D51" t="s">
        <v>146</v>
      </c>
      <c r="E51" t="s">
        <v>147</v>
      </c>
      <c r="F51" t="s">
        <v>165</v>
      </c>
      <c r="G51" t="s">
        <v>58</v>
      </c>
      <c r="H51" t="s">
        <v>166</v>
      </c>
      <c r="L51" s="7" t="s">
        <v>17</v>
      </c>
      <c r="M51" s="8" t="s">
        <v>153</v>
      </c>
      <c r="N51" s="8"/>
      <c r="O51" s="8"/>
    </row>
    <row r="52" spans="1:15">
      <c r="A52" t="s">
        <v>167</v>
      </c>
      <c r="D52" t="s">
        <v>146</v>
      </c>
      <c r="E52" t="s">
        <v>147</v>
      </c>
      <c r="F52" t="s">
        <v>168</v>
      </c>
      <c r="G52" t="str">
        <f>_xlfn.XLOOKUP(F52,'NPO Caseware'!G:G,'NPO Caseware'!H:H)</f>
        <v>PPC</v>
      </c>
      <c r="H52" t="str">
        <f>_xlfn.XLOOKUP(F52,'NPO Caseware'!G:G,'NPO Caseware'!I:I)</f>
        <v>Word</v>
      </c>
      <c r="I52" t="s">
        <v>169</v>
      </c>
      <c r="L52" s="7" t="s">
        <v>17</v>
      </c>
      <c r="M52" s="8" t="s">
        <v>53</v>
      </c>
      <c r="N52" s="8"/>
      <c r="O52" s="8"/>
    </row>
    <row r="53" spans="1:15">
      <c r="A53" t="s">
        <v>170</v>
      </c>
      <c r="D53" t="s">
        <v>146</v>
      </c>
      <c r="E53" t="s">
        <v>147</v>
      </c>
      <c r="F53" t="s">
        <v>171</v>
      </c>
      <c r="G53" t="str">
        <f>_xlfn.XLOOKUP(F53,'NPO Caseware'!G:G,'NPO Caseware'!H:H)</f>
        <v>PPC</v>
      </c>
      <c r="H53" t="str">
        <f>_xlfn.XLOOKUP(F53,'NPO Caseware'!G:G,'NPO Caseware'!I:I)</f>
        <v>Word</v>
      </c>
      <c r="I53" t="s">
        <v>172</v>
      </c>
      <c r="L53" s="7" t="s">
        <v>17</v>
      </c>
      <c r="M53" s="8" t="s">
        <v>173</v>
      </c>
      <c r="N53" s="8"/>
      <c r="O53" s="8"/>
    </row>
    <row r="54" spans="1:15">
      <c r="A54" t="s">
        <v>174</v>
      </c>
      <c r="D54" t="s">
        <v>146</v>
      </c>
      <c r="E54" t="s">
        <v>147</v>
      </c>
      <c r="F54" t="s">
        <v>175</v>
      </c>
      <c r="G54" t="s">
        <v>82</v>
      </c>
      <c r="H54" t="s">
        <v>83</v>
      </c>
      <c r="L54" s="7" t="s">
        <v>17</v>
      </c>
      <c r="M54" s="8" t="s">
        <v>161</v>
      </c>
      <c r="N54" s="8"/>
      <c r="O54" s="8"/>
    </row>
    <row r="55" spans="1:15">
      <c r="A55" t="s">
        <v>176</v>
      </c>
      <c r="D55" t="s">
        <v>146</v>
      </c>
      <c r="E55" t="s">
        <v>147</v>
      </c>
      <c r="F55" t="s">
        <v>177</v>
      </c>
      <c r="G55" t="s">
        <v>82</v>
      </c>
      <c r="H55" t="str">
        <f>_xlfn.XLOOKUP(F55,'NPO Caseware'!G:G,'NPO Caseware'!I:I)</f>
        <v>PDF</v>
      </c>
      <c r="L55" s="7" t="s">
        <v>17</v>
      </c>
      <c r="M55" s="8" t="s">
        <v>161</v>
      </c>
      <c r="N55" s="8"/>
      <c r="O55" s="8"/>
    </row>
    <row r="56" spans="1:15">
      <c r="A56" t="s">
        <v>178</v>
      </c>
      <c r="D56" t="s">
        <v>146</v>
      </c>
      <c r="E56" t="s">
        <v>147</v>
      </c>
      <c r="F56" t="s">
        <v>179</v>
      </c>
      <c r="G56" t="str">
        <f>_xlfn.XLOOKUP(F56,'NPO Caseware'!G:G,'NPO Caseware'!H:H)</f>
        <v>PBC</v>
      </c>
      <c r="H56" t="str">
        <f>_xlfn.XLOOKUP(F56,'NPO Caseware'!G:G,'NPO Caseware'!I:I)</f>
        <v>PDF</v>
      </c>
      <c r="L56" s="7" t="s">
        <v>17</v>
      </c>
      <c r="M56" s="8" t="s">
        <v>161</v>
      </c>
      <c r="N56" s="8"/>
      <c r="O56" s="8"/>
    </row>
    <row r="57" spans="1:15">
      <c r="A57" t="s">
        <v>180</v>
      </c>
      <c r="D57" t="s">
        <v>146</v>
      </c>
      <c r="E57" t="s">
        <v>147</v>
      </c>
      <c r="F57" t="s">
        <v>181</v>
      </c>
      <c r="G57" t="s">
        <v>58</v>
      </c>
      <c r="H57" t="s">
        <v>166</v>
      </c>
      <c r="I57" t="s">
        <v>182</v>
      </c>
      <c r="L57" s="10" t="s">
        <v>183</v>
      </c>
      <c r="M57" s="8" t="s">
        <v>184</v>
      </c>
      <c r="N57" s="8"/>
      <c r="O57" s="8"/>
    </row>
    <row r="58" spans="1:15">
      <c r="A58" t="s">
        <v>185</v>
      </c>
      <c r="D58" t="s">
        <v>146</v>
      </c>
      <c r="E58" t="s">
        <v>147</v>
      </c>
      <c r="F58" t="s">
        <v>186</v>
      </c>
      <c r="G58" t="str">
        <f>_xlfn.XLOOKUP(F58,'NPO Caseware'!G:G,'NPO Caseware'!H:H)</f>
        <v>HCLLP WP</v>
      </c>
      <c r="H58" t="str">
        <f>_xlfn.XLOOKUP(F58,'NPO Caseware'!G:G,'NPO Caseware'!I:I)</f>
        <v xml:space="preserve">Caseview </v>
      </c>
      <c r="I58" t="s">
        <v>187</v>
      </c>
      <c r="L58" s="10" t="s">
        <v>183</v>
      </c>
      <c r="M58" s="8" t="s">
        <v>188</v>
      </c>
      <c r="N58" s="8"/>
      <c r="O58" s="8"/>
    </row>
    <row r="59" spans="1:15">
      <c r="A59" t="s">
        <v>189</v>
      </c>
      <c r="D59" t="s">
        <v>146</v>
      </c>
      <c r="E59" t="s">
        <v>147</v>
      </c>
      <c r="F59" t="s">
        <v>190</v>
      </c>
      <c r="G59" t="str">
        <f>_xlfn.XLOOKUP(F59,'NPO Caseware'!G:G,'NPO Caseware'!H:H)</f>
        <v>HCLLP WP</v>
      </c>
      <c r="H59" t="str">
        <f>_xlfn.XLOOKUP(F59,'NPO Caseware'!G:G,'NPO Caseware'!I:I)</f>
        <v xml:space="preserve">Caseview </v>
      </c>
      <c r="I59" t="s">
        <v>187</v>
      </c>
      <c r="L59" s="10" t="s">
        <v>183</v>
      </c>
      <c r="M59" s="8" t="s">
        <v>188</v>
      </c>
      <c r="N59" s="8"/>
      <c r="O59" s="8"/>
    </row>
    <row r="60" spans="1:15">
      <c r="A60" t="s">
        <v>191</v>
      </c>
      <c r="D60" t="s">
        <v>146</v>
      </c>
      <c r="E60" t="s">
        <v>147</v>
      </c>
      <c r="F60" t="s">
        <v>192</v>
      </c>
      <c r="G60" t="s">
        <v>58</v>
      </c>
      <c r="H60" t="s">
        <v>166</v>
      </c>
      <c r="I60" t="s">
        <v>193</v>
      </c>
      <c r="L60" s="10" t="s">
        <v>183</v>
      </c>
      <c r="M60" s="8" t="s">
        <v>188</v>
      </c>
      <c r="N60" s="8"/>
      <c r="O60" s="8"/>
    </row>
    <row r="61" spans="1:15">
      <c r="A61" t="s">
        <v>194</v>
      </c>
      <c r="D61" t="s">
        <v>146</v>
      </c>
      <c r="E61" t="s">
        <v>147</v>
      </c>
      <c r="F61" t="s">
        <v>195</v>
      </c>
      <c r="G61" t="str">
        <f>_xlfn.XLOOKUP(F61,'NPO Caseware'!G:G,'NPO Caseware'!H:H)</f>
        <v>PPC</v>
      </c>
      <c r="H61" t="str">
        <f>_xlfn.XLOOKUP(F61,'NPO Caseware'!G:G,'NPO Caseware'!I:I)</f>
        <v xml:space="preserve">Caseview </v>
      </c>
      <c r="I61" t="s">
        <v>196</v>
      </c>
      <c r="L61" s="7" t="s">
        <v>17</v>
      </c>
      <c r="M61" s="8" t="s">
        <v>28</v>
      </c>
      <c r="N61" s="8"/>
      <c r="O61" s="8"/>
    </row>
    <row r="62" spans="1:15">
      <c r="A62" t="s">
        <v>197</v>
      </c>
      <c r="D62" t="s">
        <v>146</v>
      </c>
      <c r="E62" t="s">
        <v>147</v>
      </c>
      <c r="F62" t="s">
        <v>198</v>
      </c>
      <c r="G62" t="str">
        <f>_xlfn.XLOOKUP(F62,'NPO Caseware'!G:G,'NPO Caseware'!H:H)</f>
        <v>HCLLP WP</v>
      </c>
      <c r="H62" t="str">
        <f>_xlfn.XLOOKUP(F62,'NPO Caseware'!G:G,'NPO Caseware'!I:I)</f>
        <v>Word</v>
      </c>
      <c r="L62" s="7" t="s">
        <v>17</v>
      </c>
      <c r="M62" s="8" t="s">
        <v>161</v>
      </c>
      <c r="N62" s="8"/>
      <c r="O62" s="8"/>
    </row>
    <row r="63" spans="1:15">
      <c r="A63" t="s">
        <v>199</v>
      </c>
      <c r="D63" t="s">
        <v>146</v>
      </c>
      <c r="E63" t="s">
        <v>147</v>
      </c>
      <c r="F63" t="s">
        <v>200</v>
      </c>
      <c r="G63" t="s">
        <v>58</v>
      </c>
      <c r="H63" t="s">
        <v>201</v>
      </c>
      <c r="L63" s="7" t="s">
        <v>17</v>
      </c>
      <c r="M63" s="8" t="s">
        <v>60</v>
      </c>
      <c r="N63" s="8"/>
      <c r="O63" s="8"/>
    </row>
    <row r="64" spans="1:15">
      <c r="A64" t="s">
        <v>202</v>
      </c>
      <c r="D64" t="s">
        <v>146</v>
      </c>
      <c r="E64" t="s">
        <v>147</v>
      </c>
      <c r="F64" t="s">
        <v>203</v>
      </c>
      <c r="G64" t="s">
        <v>58</v>
      </c>
      <c r="H64" t="s">
        <v>201</v>
      </c>
      <c r="L64" s="7" t="s">
        <v>17</v>
      </c>
      <c r="M64" s="8" t="s">
        <v>60</v>
      </c>
      <c r="N64" s="8"/>
      <c r="O64" s="8"/>
    </row>
    <row r="65" spans="1:15">
      <c r="A65" t="s">
        <v>204</v>
      </c>
      <c r="D65" t="s">
        <v>146</v>
      </c>
      <c r="E65" t="s">
        <v>147</v>
      </c>
      <c r="F65" t="s">
        <v>205</v>
      </c>
      <c r="G65" t="s">
        <v>58</v>
      </c>
      <c r="H65" t="s">
        <v>201</v>
      </c>
      <c r="L65" s="7" t="s">
        <v>17</v>
      </c>
      <c r="M65" s="8" t="s">
        <v>60</v>
      </c>
      <c r="N65" s="8"/>
      <c r="O65" s="8"/>
    </row>
    <row r="66" spans="1:15">
      <c r="A66" t="s">
        <v>206</v>
      </c>
      <c r="D66" t="s">
        <v>146</v>
      </c>
      <c r="E66" t="s">
        <v>147</v>
      </c>
      <c r="F66" t="s">
        <v>207</v>
      </c>
      <c r="G66" t="s">
        <v>58</v>
      </c>
      <c r="H66" t="s">
        <v>201</v>
      </c>
      <c r="L66" s="7" t="s">
        <v>17</v>
      </c>
      <c r="M66" s="8" t="s">
        <v>60</v>
      </c>
      <c r="N66" s="8"/>
      <c r="O66" s="8"/>
    </row>
    <row r="67" spans="1:15">
      <c r="A67" t="s">
        <v>208</v>
      </c>
      <c r="D67" t="s">
        <v>146</v>
      </c>
      <c r="E67" t="s">
        <v>147</v>
      </c>
      <c r="F67" t="s">
        <v>209</v>
      </c>
      <c r="G67" t="str">
        <f>_xlfn.XLOOKUP(F67,'NPO Caseware'!G:G,'NPO Caseware'!H:H)</f>
        <v>HCLLP WP</v>
      </c>
      <c r="H67" t="str">
        <f>_xlfn.XLOOKUP(F67,'NPO Caseware'!G:G,'NPO Caseware'!I:I)</f>
        <v>Excel</v>
      </c>
      <c r="L67" s="7" t="s">
        <v>17</v>
      </c>
      <c r="M67" s="8" t="s">
        <v>210</v>
      </c>
      <c r="N67" s="8"/>
      <c r="O67" s="8"/>
    </row>
    <row r="68" spans="1:15" ht="15" customHeight="1">
      <c r="A68" t="s">
        <v>211</v>
      </c>
      <c r="D68" t="s">
        <v>146</v>
      </c>
      <c r="E68" t="s">
        <v>147</v>
      </c>
      <c r="F68" t="s">
        <v>212</v>
      </c>
      <c r="G68" t="str">
        <f>_xlfn.XLOOKUP(F68,'NPO Caseware'!G:G,'NPO Caseware'!H:H)</f>
        <v>HCLLP WP</v>
      </c>
      <c r="H68" t="str">
        <f>_xlfn.XLOOKUP(F68,'NPO Caseware'!G:G,'NPO Caseware'!I:I)</f>
        <v xml:space="preserve">Caseview </v>
      </c>
      <c r="J68" s="3" t="s">
        <v>213</v>
      </c>
      <c r="L68" s="7" t="s">
        <v>17</v>
      </c>
      <c r="M68" s="8" t="s">
        <v>214</v>
      </c>
      <c r="N68" s="8"/>
      <c r="O68" s="8"/>
    </row>
    <row r="69" spans="1:15" ht="15" customHeight="1">
      <c r="A69" t="s">
        <v>215</v>
      </c>
      <c r="D69" t="s">
        <v>146</v>
      </c>
      <c r="E69" t="s">
        <v>147</v>
      </c>
      <c r="F69" t="s">
        <v>216</v>
      </c>
      <c r="G69" t="str">
        <f>_xlfn.XLOOKUP(F69,'NPO Caseware'!G:G,'NPO Caseware'!H:H)</f>
        <v>HCLLP WP</v>
      </c>
      <c r="H69" t="str">
        <f>_xlfn.XLOOKUP(F69,'NPO Caseware'!G:G,'NPO Caseware'!I:I)</f>
        <v xml:space="preserve">Caseview </v>
      </c>
      <c r="J69" s="3" t="s">
        <v>217</v>
      </c>
      <c r="L69" s="7" t="s">
        <v>17</v>
      </c>
      <c r="M69" s="8" t="s">
        <v>214</v>
      </c>
      <c r="N69" s="8"/>
      <c r="O69" s="8"/>
    </row>
    <row r="70" spans="1:15" ht="15" customHeight="1">
      <c r="A70" t="s">
        <v>218</v>
      </c>
      <c r="D70" t="s">
        <v>146</v>
      </c>
      <c r="E70" t="s">
        <v>147</v>
      </c>
      <c r="F70" t="s">
        <v>219</v>
      </c>
      <c r="G70" t="str">
        <f>_xlfn.XLOOKUP(F70,'NPO Caseware'!G:G,'NPO Caseware'!H:H)</f>
        <v>HCLLP WP</v>
      </c>
      <c r="H70" t="str">
        <f>_xlfn.XLOOKUP(F70,'NPO Caseware'!G:G,'NPO Caseware'!I:I)</f>
        <v xml:space="preserve">Caseview </v>
      </c>
      <c r="J70" s="3" t="s">
        <v>220</v>
      </c>
      <c r="L70" s="7" t="s">
        <v>17</v>
      </c>
      <c r="M70" s="8" t="s">
        <v>214</v>
      </c>
      <c r="N70" s="8"/>
      <c r="O70" s="8"/>
    </row>
    <row r="71" spans="1:15" ht="15" customHeight="1">
      <c r="A71" t="s">
        <v>221</v>
      </c>
      <c r="D71" t="s">
        <v>146</v>
      </c>
      <c r="E71" t="s">
        <v>147</v>
      </c>
      <c r="F71" t="s">
        <v>222</v>
      </c>
      <c r="G71" t="str">
        <f>_xlfn.XLOOKUP(F71,'NPO Caseware'!G:G,'NPO Caseware'!H:H)</f>
        <v>HCLLP WP</v>
      </c>
      <c r="H71" t="str">
        <f>_xlfn.XLOOKUP(F71,'NPO Caseware'!G:G,'NPO Caseware'!I:I)</f>
        <v xml:space="preserve">Caseview </v>
      </c>
      <c r="J71" s="3" t="s">
        <v>223</v>
      </c>
      <c r="L71" s="7" t="s">
        <v>17</v>
      </c>
      <c r="M71" s="8" t="s">
        <v>214</v>
      </c>
      <c r="N71" s="8"/>
      <c r="O71" s="8"/>
    </row>
    <row r="72" spans="1:15" ht="15" customHeight="1">
      <c r="A72" t="s">
        <v>224</v>
      </c>
      <c r="D72" t="s">
        <v>146</v>
      </c>
      <c r="E72" t="s">
        <v>147</v>
      </c>
      <c r="F72" t="s">
        <v>225</v>
      </c>
      <c r="G72" t="str">
        <f>_xlfn.XLOOKUP(F72,'NPO Caseware'!G:G,'NPO Caseware'!H:H)</f>
        <v>HCLLP WP</v>
      </c>
      <c r="H72" t="str">
        <f>_xlfn.XLOOKUP(F72,'NPO Caseware'!G:G,'NPO Caseware'!I:I)</f>
        <v xml:space="preserve">Caseview </v>
      </c>
      <c r="J72" s="3" t="s">
        <v>226</v>
      </c>
      <c r="L72" s="7" t="s">
        <v>17</v>
      </c>
      <c r="M72" s="8" t="s">
        <v>214</v>
      </c>
      <c r="N72" s="8"/>
      <c r="O72" s="8"/>
    </row>
    <row r="73" spans="1:15" ht="15" customHeight="1">
      <c r="A73" t="s">
        <v>227</v>
      </c>
      <c r="D73" t="s">
        <v>146</v>
      </c>
      <c r="E73" t="s">
        <v>147</v>
      </c>
      <c r="F73" t="s">
        <v>228</v>
      </c>
      <c r="G73" t="str">
        <f>_xlfn.XLOOKUP(F73,'NPO Caseware'!G:G,'NPO Caseware'!H:H)</f>
        <v>HCLLP WP</v>
      </c>
      <c r="H73" t="str">
        <f>_xlfn.XLOOKUP(F73,'NPO Caseware'!G:G,'NPO Caseware'!I:I)</f>
        <v xml:space="preserve">Caseview </v>
      </c>
      <c r="J73" s="11" t="s">
        <v>229</v>
      </c>
      <c r="L73" s="7" t="s">
        <v>17</v>
      </c>
      <c r="M73" s="8" t="s">
        <v>214</v>
      </c>
      <c r="N73" s="8"/>
      <c r="O73" s="8"/>
    </row>
    <row r="74" spans="1:15" ht="15" customHeight="1">
      <c r="A74" t="s">
        <v>230</v>
      </c>
      <c r="D74" t="s">
        <v>146</v>
      </c>
      <c r="E74" t="s">
        <v>147</v>
      </c>
      <c r="F74" t="s">
        <v>231</v>
      </c>
      <c r="G74" t="str">
        <f>_xlfn.XLOOKUP(F74,'NPO Caseware'!G:G,'NPO Caseware'!H:H)</f>
        <v>HCLLP WP</v>
      </c>
      <c r="H74" t="str">
        <f>_xlfn.XLOOKUP(F74,'NPO Caseware'!G:G,'NPO Caseware'!I:I)</f>
        <v xml:space="preserve">Caseview </v>
      </c>
      <c r="J74" s="11" t="s">
        <v>232</v>
      </c>
      <c r="L74" s="7" t="s">
        <v>17</v>
      </c>
      <c r="M74" s="8" t="s">
        <v>214</v>
      </c>
      <c r="N74" s="8"/>
      <c r="O74" s="8"/>
    </row>
    <row r="75" spans="1:15">
      <c r="A75" t="s">
        <v>233</v>
      </c>
      <c r="D75" t="s">
        <v>146</v>
      </c>
      <c r="E75" t="s">
        <v>147</v>
      </c>
      <c r="F75" t="s">
        <v>234</v>
      </c>
      <c r="G75" t="str">
        <f>_xlfn.XLOOKUP(F75,'NPO Caseware'!G:G,'NPO Caseware'!H:H)</f>
        <v>HCLLP WP</v>
      </c>
      <c r="H75" t="str">
        <f>_xlfn.XLOOKUP(F75,'NPO Caseware'!G:G,'NPO Caseware'!I:I)</f>
        <v xml:space="preserve">Caseview </v>
      </c>
      <c r="L75" s="7" t="s">
        <v>17</v>
      </c>
      <c r="M75" s="8" t="s">
        <v>214</v>
      </c>
      <c r="N75" s="8"/>
      <c r="O75" s="8"/>
    </row>
    <row r="76" spans="1:15">
      <c r="A76" t="s">
        <v>235</v>
      </c>
      <c r="D76" t="s">
        <v>146</v>
      </c>
      <c r="E76" t="s">
        <v>147</v>
      </c>
      <c r="F76" t="s">
        <v>236</v>
      </c>
      <c r="G76" t="str">
        <f>_xlfn.XLOOKUP(F76,'NPO Caseware'!G:G,'NPO Caseware'!H:H)</f>
        <v>HCLLP WP</v>
      </c>
      <c r="H76" t="str">
        <f>_xlfn.XLOOKUP(F76,'NPO Caseware'!G:G,'NPO Caseware'!I:I)</f>
        <v xml:space="preserve">Caseview </v>
      </c>
      <c r="L76" s="7" t="s">
        <v>17</v>
      </c>
      <c r="M76" s="8" t="s">
        <v>214</v>
      </c>
      <c r="N76" s="8"/>
      <c r="O76" s="8"/>
    </row>
    <row r="77" spans="1:15">
      <c r="A77" t="s">
        <v>237</v>
      </c>
      <c r="D77" t="s">
        <v>146</v>
      </c>
      <c r="E77" t="s">
        <v>147</v>
      </c>
      <c r="F77" t="s">
        <v>238</v>
      </c>
      <c r="G77" t="str">
        <f>_xlfn.XLOOKUP(F77,'NPO Caseware'!G:G,'NPO Caseware'!H:H)</f>
        <v>HCLLP WP</v>
      </c>
      <c r="H77" t="str">
        <f>_xlfn.XLOOKUP(F77,'NPO Caseware'!G:G,'NPO Caseware'!I:I)</f>
        <v xml:space="preserve">Caseview </v>
      </c>
      <c r="L77" s="7" t="s">
        <v>17</v>
      </c>
      <c r="M77" s="8" t="s">
        <v>214</v>
      </c>
      <c r="N77" s="8"/>
      <c r="O77" s="8"/>
    </row>
    <row r="78" spans="1:15">
      <c r="A78" t="s">
        <v>239</v>
      </c>
      <c r="D78" t="s">
        <v>146</v>
      </c>
      <c r="E78" t="s">
        <v>147</v>
      </c>
      <c r="F78" t="s">
        <v>240</v>
      </c>
      <c r="G78" t="str">
        <f>_xlfn.XLOOKUP(F78,'NPO Caseware'!G:G,'NPO Caseware'!H:H)</f>
        <v>HCLLP WP</v>
      </c>
      <c r="H78" t="str">
        <f>_xlfn.XLOOKUP(F78,'NPO Caseware'!G:G,'NPO Caseware'!I:I)</f>
        <v xml:space="preserve">Caseview </v>
      </c>
      <c r="L78" s="7" t="s">
        <v>17</v>
      </c>
      <c r="M78" s="8" t="s">
        <v>214</v>
      </c>
      <c r="N78" s="8"/>
      <c r="O78" s="8"/>
    </row>
    <row r="79" spans="1:15">
      <c r="A79" t="s">
        <v>241</v>
      </c>
      <c r="D79" t="s">
        <v>146</v>
      </c>
      <c r="E79" t="s">
        <v>147</v>
      </c>
      <c r="F79" t="s">
        <v>242</v>
      </c>
      <c r="G79" t="str">
        <f>_xlfn.XLOOKUP(F79,'NPO Caseware'!G:G,'NPO Caseware'!H:H)</f>
        <v>HCLLP WP</v>
      </c>
      <c r="H79" t="str">
        <f>_xlfn.XLOOKUP(F79,'NPO Caseware'!G:G,'NPO Caseware'!I:I)</f>
        <v xml:space="preserve">Caseview </v>
      </c>
      <c r="L79" s="7" t="s">
        <v>17</v>
      </c>
      <c r="M79" s="8" t="s">
        <v>214</v>
      </c>
      <c r="N79" s="8"/>
      <c r="O79" s="8"/>
    </row>
    <row r="80" spans="1:15">
      <c r="A80" t="s">
        <v>243</v>
      </c>
      <c r="D80" t="s">
        <v>146</v>
      </c>
      <c r="E80" t="s">
        <v>147</v>
      </c>
      <c r="F80" t="s">
        <v>244</v>
      </c>
      <c r="G80" t="str">
        <f>_xlfn.XLOOKUP(F80,'NPO Caseware'!G:G,'NPO Caseware'!H:H)</f>
        <v>HCLLP WP</v>
      </c>
      <c r="H80" t="str">
        <f>_xlfn.XLOOKUP(F80,'NPO Caseware'!G:G,'NPO Caseware'!I:I)</f>
        <v xml:space="preserve">Caseview </v>
      </c>
      <c r="L80" s="7" t="s">
        <v>17</v>
      </c>
      <c r="M80" s="8" t="s">
        <v>214</v>
      </c>
      <c r="N80" s="8"/>
      <c r="O80" s="8"/>
    </row>
    <row r="81" spans="1:15">
      <c r="A81" t="s">
        <v>245</v>
      </c>
      <c r="D81" t="s">
        <v>146</v>
      </c>
      <c r="E81" t="s">
        <v>147</v>
      </c>
      <c r="F81" t="s">
        <v>246</v>
      </c>
      <c r="G81" t="str">
        <f>_xlfn.XLOOKUP(F81,'NPO Caseware'!G:G,'NPO Caseware'!H:H)</f>
        <v>HCLLP WP</v>
      </c>
      <c r="H81" t="str">
        <f>_xlfn.XLOOKUP(F81,'NPO Caseware'!G:G,'NPO Caseware'!I:I)</f>
        <v xml:space="preserve">Caseview </v>
      </c>
      <c r="L81" s="7" t="s">
        <v>17</v>
      </c>
      <c r="M81" s="8" t="s">
        <v>214</v>
      </c>
      <c r="N81" s="8"/>
      <c r="O81" s="8"/>
    </row>
    <row r="82" spans="1:15">
      <c r="A82" t="s">
        <v>247</v>
      </c>
      <c r="D82" t="s">
        <v>146</v>
      </c>
      <c r="E82" t="s">
        <v>147</v>
      </c>
      <c r="F82" t="s">
        <v>248</v>
      </c>
      <c r="G82" t="str">
        <f>_xlfn.XLOOKUP(F82,'NPO Caseware'!G:G,'NPO Caseware'!H:H)</f>
        <v>HCLLP WP</v>
      </c>
      <c r="H82" t="str">
        <f>_xlfn.XLOOKUP(F82,'NPO Caseware'!G:G,'NPO Caseware'!I:I)</f>
        <v xml:space="preserve">Caseview </v>
      </c>
      <c r="L82" s="7" t="s">
        <v>17</v>
      </c>
      <c r="M82" s="8" t="s">
        <v>214</v>
      </c>
      <c r="N82" s="8"/>
      <c r="O82" s="8"/>
    </row>
    <row r="83" spans="1:15">
      <c r="A83" t="s">
        <v>249</v>
      </c>
      <c r="D83" t="s">
        <v>146</v>
      </c>
      <c r="E83" t="s">
        <v>147</v>
      </c>
      <c r="F83" t="s">
        <v>250</v>
      </c>
      <c r="G83" t="str">
        <f>_xlfn.XLOOKUP(F83,'NPO Caseware'!G:G,'NPO Caseware'!H:H)</f>
        <v>HCLLP WP</v>
      </c>
      <c r="H83" t="str">
        <f>_xlfn.XLOOKUP(F83,'NPO Caseware'!G:G,'NPO Caseware'!I:I)</f>
        <v xml:space="preserve">Caseview </v>
      </c>
      <c r="L83" s="7" t="s">
        <v>17</v>
      </c>
      <c r="M83" s="8" t="s">
        <v>161</v>
      </c>
      <c r="N83" s="8"/>
      <c r="O83" s="8"/>
    </row>
    <row r="84" spans="1:15">
      <c r="A84" t="s">
        <v>251</v>
      </c>
      <c r="D84" t="s">
        <v>146</v>
      </c>
      <c r="E84" t="s">
        <v>147</v>
      </c>
      <c r="F84" t="s">
        <v>252</v>
      </c>
      <c r="G84" t="str">
        <f>_xlfn.XLOOKUP(F84,'NPO Caseware'!G:G,'NPO Caseware'!H:H)</f>
        <v>HCLLP WP</v>
      </c>
      <c r="H84" t="str">
        <f>_xlfn.XLOOKUP(F84,'NPO Caseware'!G:G,'NPO Caseware'!I:I)</f>
        <v xml:space="preserve">Caseview </v>
      </c>
      <c r="L84" s="7" t="s">
        <v>17</v>
      </c>
      <c r="M84" s="8" t="s">
        <v>253</v>
      </c>
      <c r="N84" s="8"/>
      <c r="O84" s="8"/>
    </row>
    <row r="85" spans="1:15">
      <c r="A85" t="s">
        <v>254</v>
      </c>
      <c r="D85" t="s">
        <v>146</v>
      </c>
      <c r="E85" t="s">
        <v>147</v>
      </c>
      <c r="F85" t="s">
        <v>255</v>
      </c>
      <c r="G85" t="str">
        <f>_xlfn.XLOOKUP(F85,'NPO Caseware'!G:G,'NPO Caseware'!H:H)</f>
        <v>HCLLP WP</v>
      </c>
      <c r="H85" t="str">
        <f>_xlfn.XLOOKUP(F85,'NPO Caseware'!G:G,'NPO Caseware'!I:I)</f>
        <v xml:space="preserve">Caseview </v>
      </c>
      <c r="L85" s="7" t="s">
        <v>17</v>
      </c>
      <c r="M85" s="8" t="s">
        <v>161</v>
      </c>
      <c r="N85" s="8"/>
      <c r="O85" s="8"/>
    </row>
    <row r="86" spans="1:15">
      <c r="A86" t="s">
        <v>256</v>
      </c>
      <c r="D86" t="s">
        <v>146</v>
      </c>
      <c r="E86" t="s">
        <v>147</v>
      </c>
      <c r="F86" t="s">
        <v>257</v>
      </c>
      <c r="G86" t="str">
        <f>_xlfn.XLOOKUP(F86,'NPO Caseware'!G:G,'NPO Caseware'!H:H)</f>
        <v>HCLLP WP</v>
      </c>
      <c r="H86" t="str">
        <f>_xlfn.XLOOKUP(F86,'NPO Caseware'!G:G,'NPO Caseware'!I:I)</f>
        <v xml:space="preserve">Caseview </v>
      </c>
      <c r="L86" s="7" t="s">
        <v>17</v>
      </c>
      <c r="M86" s="8" t="s">
        <v>253</v>
      </c>
      <c r="N86" s="8"/>
      <c r="O86" s="8"/>
    </row>
    <row r="87" spans="1:15">
      <c r="A87" t="s">
        <v>258</v>
      </c>
      <c r="D87" t="s">
        <v>146</v>
      </c>
      <c r="E87" t="s">
        <v>147</v>
      </c>
      <c r="F87" t="s">
        <v>259</v>
      </c>
      <c r="G87" t="str">
        <f>_xlfn.XLOOKUP(F87,'NPO Caseware'!G:G,'NPO Caseware'!H:H)</f>
        <v>HCLLP WP</v>
      </c>
      <c r="H87" t="str">
        <f>_xlfn.XLOOKUP(F87,'NPO Caseware'!G:G,'NPO Caseware'!I:I)</f>
        <v>Word</v>
      </c>
      <c r="L87" s="7" t="s">
        <v>17</v>
      </c>
      <c r="M87" s="8" t="s">
        <v>260</v>
      </c>
      <c r="N87" s="8"/>
      <c r="O87" s="8"/>
    </row>
    <row r="88" spans="1:15">
      <c r="A88" t="s">
        <v>261</v>
      </c>
      <c r="D88" t="s">
        <v>146</v>
      </c>
      <c r="E88" t="s">
        <v>147</v>
      </c>
      <c r="F88" t="s">
        <v>262</v>
      </c>
      <c r="G88" t="str">
        <f>_xlfn.XLOOKUP(F88,'NPO Caseware'!G:G,'NPO Caseware'!H:H)</f>
        <v>HCLLP WP</v>
      </c>
      <c r="H88" t="str">
        <f>_xlfn.XLOOKUP(F88,'NPO Caseware'!G:G,'NPO Caseware'!I:I)</f>
        <v>Word</v>
      </c>
      <c r="L88" s="7" t="s">
        <v>17</v>
      </c>
      <c r="M88" s="8" t="s">
        <v>260</v>
      </c>
      <c r="N88" s="8"/>
      <c r="O88" s="8"/>
    </row>
    <row r="89" spans="1:15">
      <c r="A89" t="s">
        <v>263</v>
      </c>
      <c r="D89" t="s">
        <v>146</v>
      </c>
      <c r="E89" t="s">
        <v>147</v>
      </c>
      <c r="F89" t="s">
        <v>264</v>
      </c>
      <c r="G89" t="str">
        <f>_xlfn.XLOOKUP(F89,'NPO Caseware'!G:G,'NPO Caseware'!H:H)</f>
        <v>HCLLP WP</v>
      </c>
      <c r="H89" t="str">
        <f>_xlfn.XLOOKUP(F89,'NPO Caseware'!G:G,'NPO Caseware'!I:I)</f>
        <v>Word</v>
      </c>
      <c r="L89" s="7" t="s">
        <v>17</v>
      </c>
      <c r="M89" s="8" t="s">
        <v>260</v>
      </c>
      <c r="N89" s="8"/>
      <c r="O89" s="8"/>
    </row>
    <row r="90" spans="1:15">
      <c r="A90" t="s">
        <v>265</v>
      </c>
      <c r="D90" t="s">
        <v>146</v>
      </c>
      <c r="E90" t="s">
        <v>147</v>
      </c>
      <c r="F90" t="s">
        <v>266</v>
      </c>
      <c r="G90" t="str">
        <f>_xlfn.XLOOKUP(F90,'NPO Caseware'!G:G,'NPO Caseware'!H:H)</f>
        <v>HCLLP WP</v>
      </c>
      <c r="H90" t="str">
        <f>_xlfn.XLOOKUP(F90,'NPO Caseware'!G:G,'NPO Caseware'!I:I)</f>
        <v>Word</v>
      </c>
      <c r="L90" s="7" t="s">
        <v>17</v>
      </c>
      <c r="M90" s="8" t="s">
        <v>260</v>
      </c>
      <c r="N90" s="8"/>
      <c r="O90" s="8"/>
    </row>
    <row r="91" spans="1:15">
      <c r="A91" t="s">
        <v>267</v>
      </c>
      <c r="D91" t="s">
        <v>146</v>
      </c>
      <c r="E91" t="s">
        <v>147</v>
      </c>
      <c r="F91" t="s">
        <v>268</v>
      </c>
      <c r="G91" t="str">
        <f>_xlfn.XLOOKUP(F91,'NPO Caseware'!G:G,'NPO Caseware'!H:H)</f>
        <v>PPC</v>
      </c>
      <c r="H91" t="str">
        <f>_xlfn.XLOOKUP(F91,'NPO Caseware'!G:G,'NPO Caseware'!I:I)</f>
        <v>Word</v>
      </c>
      <c r="I91" t="s">
        <v>269</v>
      </c>
      <c r="J91" t="s">
        <v>34</v>
      </c>
      <c r="L91" s="7" t="s">
        <v>17</v>
      </c>
      <c r="M91" s="8" t="s">
        <v>161</v>
      </c>
      <c r="N91" s="8"/>
      <c r="O91" s="8"/>
    </row>
    <row r="92" spans="1:15">
      <c r="A92" t="s">
        <v>270</v>
      </c>
      <c r="D92" t="s">
        <v>146</v>
      </c>
      <c r="E92" t="s">
        <v>147</v>
      </c>
      <c r="F92" t="s">
        <v>271</v>
      </c>
      <c r="G92" t="str">
        <f>_xlfn.XLOOKUP(F92,'NPO Caseware'!G:G,'NPO Caseware'!H:H)</f>
        <v>PPC</v>
      </c>
      <c r="H92" t="str">
        <f>_xlfn.XLOOKUP(F92,'NPO Caseware'!G:G,'NPO Caseware'!I:I)</f>
        <v>Word</v>
      </c>
      <c r="I92" t="s">
        <v>272</v>
      </c>
      <c r="J92" t="s">
        <v>34</v>
      </c>
      <c r="L92" s="7" t="s">
        <v>17</v>
      </c>
      <c r="M92" s="8" t="s">
        <v>161</v>
      </c>
      <c r="N92" s="8"/>
      <c r="O92" s="8"/>
    </row>
    <row r="93" spans="1:15">
      <c r="A93" t="s">
        <v>273</v>
      </c>
      <c r="D93" t="s">
        <v>146</v>
      </c>
      <c r="E93" t="s">
        <v>147</v>
      </c>
      <c r="F93" t="s">
        <v>274</v>
      </c>
      <c r="G93" t="str">
        <f>_xlfn.XLOOKUP(F93,'NPO Caseware'!G:G,'NPO Caseware'!H:H)</f>
        <v>PBC</v>
      </c>
      <c r="H93" t="str">
        <f>_xlfn.XLOOKUP(F93,'NPO Caseware'!G:G,'NPO Caseware'!I:I)</f>
        <v>Word</v>
      </c>
      <c r="J93" t="s">
        <v>34</v>
      </c>
      <c r="L93" s="7" t="s">
        <v>17</v>
      </c>
      <c r="M93" s="8" t="s">
        <v>161</v>
      </c>
      <c r="N93" s="8"/>
      <c r="O93" s="8"/>
    </row>
    <row r="94" spans="1:15">
      <c r="A94" t="s">
        <v>275</v>
      </c>
      <c r="D94" t="s">
        <v>146</v>
      </c>
      <c r="E94" t="s">
        <v>147</v>
      </c>
      <c r="F94" t="s">
        <v>276</v>
      </c>
      <c r="G94" t="str">
        <f>_xlfn.XLOOKUP(F94,'NPO Caseware'!G:G,'NPO Caseware'!H:H)</f>
        <v>HCLLP WP</v>
      </c>
      <c r="H94" t="str">
        <f>_xlfn.XLOOKUP(F94,'NPO Caseware'!G:G,'NPO Caseware'!I:I)</f>
        <v>Word</v>
      </c>
      <c r="J94" t="s">
        <v>34</v>
      </c>
      <c r="L94" s="12" t="s">
        <v>277</v>
      </c>
      <c r="M94" s="8" t="s">
        <v>278</v>
      </c>
      <c r="N94" s="8"/>
      <c r="O94" s="8"/>
    </row>
    <row r="95" spans="1:15">
      <c r="A95" t="s">
        <v>279</v>
      </c>
      <c r="D95" t="s">
        <v>280</v>
      </c>
      <c r="E95" t="s">
        <v>281</v>
      </c>
      <c r="F95" t="s">
        <v>282</v>
      </c>
      <c r="G95" t="str">
        <f>_xlfn.XLOOKUP(F95,'NPO Caseware'!G:G,'NPO Caseware'!H:H)</f>
        <v>PPC</v>
      </c>
      <c r="H95" t="str">
        <f>_xlfn.XLOOKUP(F95,'NPO Caseware'!G:G,'NPO Caseware'!I:I)</f>
        <v>Word</v>
      </c>
      <c r="I95" t="s">
        <v>283</v>
      </c>
      <c r="L95" s="7" t="s">
        <v>17</v>
      </c>
      <c r="M95" s="8" t="s">
        <v>284</v>
      </c>
      <c r="N95" s="8"/>
      <c r="O95" s="8"/>
    </row>
    <row r="96" spans="1:15">
      <c r="A96" t="s">
        <v>285</v>
      </c>
      <c r="D96" t="s">
        <v>280</v>
      </c>
      <c r="E96" t="s">
        <v>281</v>
      </c>
      <c r="F96" t="s">
        <v>286</v>
      </c>
      <c r="G96" t="str">
        <f>_xlfn.XLOOKUP(F96,'NPO Caseware'!G:G,'NPO Caseware'!H:H)</f>
        <v>PPC</v>
      </c>
      <c r="H96" t="str">
        <f>_xlfn.XLOOKUP(F96,'NPO Caseware'!G:G,'NPO Caseware'!I:I)</f>
        <v>Word</v>
      </c>
      <c r="I96" t="s">
        <v>287</v>
      </c>
      <c r="L96" s="7" t="s">
        <v>17</v>
      </c>
      <c r="M96" s="8" t="s">
        <v>284</v>
      </c>
      <c r="N96" s="8"/>
      <c r="O96" s="8"/>
    </row>
    <row r="97" spans="1:15">
      <c r="A97" t="s">
        <v>288</v>
      </c>
      <c r="D97" t="s">
        <v>280</v>
      </c>
      <c r="E97" t="s">
        <v>281</v>
      </c>
      <c r="F97" t="s">
        <v>289</v>
      </c>
      <c r="G97" t="str">
        <f>_xlfn.XLOOKUP(F97,'NPO Caseware'!G:G,'NPO Caseware'!H:H)</f>
        <v>PPC</v>
      </c>
      <c r="H97" t="str">
        <f>_xlfn.XLOOKUP(F97,'NPO Caseware'!G:G,'NPO Caseware'!I:I)</f>
        <v>Word</v>
      </c>
      <c r="I97" t="s">
        <v>290</v>
      </c>
      <c r="L97" s="7" t="s">
        <v>17</v>
      </c>
      <c r="M97" s="8" t="s">
        <v>284</v>
      </c>
      <c r="N97" s="8"/>
      <c r="O97" s="8"/>
    </row>
    <row r="98" spans="1:15">
      <c r="A98" t="s">
        <v>291</v>
      </c>
      <c r="D98" t="s">
        <v>280</v>
      </c>
      <c r="E98" t="s">
        <v>281</v>
      </c>
      <c r="F98" t="s">
        <v>292</v>
      </c>
      <c r="G98" t="str">
        <f>_xlfn.XLOOKUP(F98,'NPO Caseware'!G:G,'NPO Caseware'!H:H)</f>
        <v>PPC</v>
      </c>
      <c r="H98" t="str">
        <f>_xlfn.XLOOKUP(F98,'NPO Caseware'!G:G,'NPO Caseware'!I:I)</f>
        <v>Word</v>
      </c>
      <c r="I98" t="s">
        <v>293</v>
      </c>
      <c r="L98" s="7" t="s">
        <v>17</v>
      </c>
      <c r="M98" s="8" t="s">
        <v>284</v>
      </c>
      <c r="N98" s="8"/>
      <c r="O98" s="8"/>
    </row>
    <row r="99" spans="1:15">
      <c r="A99" t="s">
        <v>294</v>
      </c>
      <c r="D99" t="s">
        <v>280</v>
      </c>
      <c r="E99" t="s">
        <v>281</v>
      </c>
      <c r="F99" t="s">
        <v>295</v>
      </c>
      <c r="G99" t="str">
        <f>_xlfn.XLOOKUP(F99,'NPO Caseware'!G:G,'NPO Caseware'!H:H)</f>
        <v>PPC</v>
      </c>
      <c r="H99" t="str">
        <f>_xlfn.XLOOKUP(F99,'NPO Caseware'!G:G,'NPO Caseware'!I:I)</f>
        <v>Word</v>
      </c>
      <c r="I99" t="s">
        <v>296</v>
      </c>
      <c r="L99" s="7" t="s">
        <v>17</v>
      </c>
      <c r="M99" s="8" t="s">
        <v>284</v>
      </c>
      <c r="N99" s="8"/>
      <c r="O99" s="8"/>
    </row>
    <row r="100" spans="1:15">
      <c r="A100" t="s">
        <v>297</v>
      </c>
      <c r="D100" t="s">
        <v>280</v>
      </c>
      <c r="E100" t="s">
        <v>281</v>
      </c>
      <c r="F100" t="s">
        <v>298</v>
      </c>
      <c r="G100" t="str">
        <f>_xlfn.XLOOKUP(F100,'NPO Caseware'!G:G,'NPO Caseware'!H:H)</f>
        <v>PPC</v>
      </c>
      <c r="H100" t="str">
        <f>_xlfn.XLOOKUP(F100,'NPO Caseware'!G:G,'NPO Caseware'!I:I)</f>
        <v>Word</v>
      </c>
      <c r="I100" t="s">
        <v>299</v>
      </c>
      <c r="L100" s="7" t="s">
        <v>17</v>
      </c>
      <c r="M100" s="8" t="s">
        <v>300</v>
      </c>
      <c r="N100" s="8"/>
      <c r="O100" s="8"/>
    </row>
    <row r="101" spans="1:15">
      <c r="A101" t="s">
        <v>301</v>
      </c>
      <c r="D101" t="s">
        <v>280</v>
      </c>
      <c r="E101" t="s">
        <v>281</v>
      </c>
      <c r="F101" t="s">
        <v>302</v>
      </c>
      <c r="G101" t="str">
        <f>_xlfn.XLOOKUP(F101,'NPO Caseware'!G:G,'NPO Caseware'!H:H)</f>
        <v>PPC</v>
      </c>
      <c r="H101" t="str">
        <f>_xlfn.XLOOKUP(F101,'NPO Caseware'!G:G,'NPO Caseware'!I:I)</f>
        <v>Word</v>
      </c>
      <c r="I101" t="s">
        <v>303</v>
      </c>
      <c r="L101" s="7" t="s">
        <v>17</v>
      </c>
      <c r="M101" s="8" t="s">
        <v>284</v>
      </c>
      <c r="N101" s="8"/>
      <c r="O101" s="8"/>
    </row>
    <row r="102" spans="1:15">
      <c r="A102" t="s">
        <v>304</v>
      </c>
      <c r="D102" t="s">
        <v>280</v>
      </c>
      <c r="E102" t="s">
        <v>281</v>
      </c>
      <c r="F102" t="s">
        <v>305</v>
      </c>
      <c r="G102" t="str">
        <f>_xlfn.XLOOKUP(F102,'NPO Caseware'!G:G,'NPO Caseware'!H:H)</f>
        <v>PPC</v>
      </c>
      <c r="H102" t="str">
        <f>_xlfn.XLOOKUP(F102,'NPO Caseware'!G:G,'NPO Caseware'!I:I)</f>
        <v>Word</v>
      </c>
      <c r="I102" t="s">
        <v>306</v>
      </c>
      <c r="L102" s="7" t="s">
        <v>17</v>
      </c>
      <c r="M102" s="8" t="s">
        <v>284</v>
      </c>
      <c r="N102" s="8"/>
      <c r="O102" s="8"/>
    </row>
    <row r="103" spans="1:15">
      <c r="A103" t="s">
        <v>307</v>
      </c>
      <c r="D103" t="s">
        <v>280</v>
      </c>
      <c r="E103" t="s">
        <v>281</v>
      </c>
      <c r="F103" t="s">
        <v>308</v>
      </c>
      <c r="G103" t="str">
        <f>_xlfn.XLOOKUP(F103,'NPO Caseware'!G:G,'NPO Caseware'!H:H)</f>
        <v>PPC</v>
      </c>
      <c r="H103" t="str">
        <f>_xlfn.XLOOKUP(F103,'NPO Caseware'!G:G,'NPO Caseware'!I:I)</f>
        <v>Word</v>
      </c>
      <c r="I103" t="s">
        <v>309</v>
      </c>
      <c r="L103" s="7" t="s">
        <v>17</v>
      </c>
      <c r="M103" s="8" t="s">
        <v>284</v>
      </c>
      <c r="N103" s="8"/>
      <c r="O103" s="8"/>
    </row>
    <row r="104" spans="1:15">
      <c r="A104" t="s">
        <v>310</v>
      </c>
      <c r="D104" t="s">
        <v>280</v>
      </c>
      <c r="E104" t="s">
        <v>281</v>
      </c>
      <c r="F104" t="s">
        <v>311</v>
      </c>
      <c r="G104" t="str">
        <f>_xlfn.XLOOKUP(F104,'NPO Caseware'!G:G,'NPO Caseware'!H:H)</f>
        <v>PPC</v>
      </c>
      <c r="H104" t="str">
        <f>_xlfn.XLOOKUP(F104,'NPO Caseware'!G:G,'NPO Caseware'!I:I)</f>
        <v>Word</v>
      </c>
      <c r="I104" t="s">
        <v>312</v>
      </c>
      <c r="L104" s="7" t="s">
        <v>17</v>
      </c>
      <c r="M104" s="8" t="s">
        <v>284</v>
      </c>
      <c r="N104" s="8"/>
      <c r="O104" s="8"/>
    </row>
    <row r="105" spans="1:15">
      <c r="A105" t="s">
        <v>313</v>
      </c>
      <c r="D105" t="s">
        <v>280</v>
      </c>
      <c r="E105" t="s">
        <v>281</v>
      </c>
      <c r="F105" t="s">
        <v>314</v>
      </c>
      <c r="G105" t="str">
        <f>_xlfn.XLOOKUP(F105,'NPO Caseware'!G:G,'NPO Caseware'!H:H)</f>
        <v>PPC</v>
      </c>
      <c r="H105" t="str">
        <f>_xlfn.XLOOKUP(F105,'NPO Caseware'!G:G,'NPO Caseware'!I:I)</f>
        <v>Word</v>
      </c>
      <c r="I105" t="s">
        <v>315</v>
      </c>
      <c r="L105" s="7" t="s">
        <v>17</v>
      </c>
      <c r="M105" s="8" t="s">
        <v>284</v>
      </c>
      <c r="N105" s="8"/>
      <c r="O105" s="8"/>
    </row>
    <row r="106" spans="1:15">
      <c r="A106" t="s">
        <v>316</v>
      </c>
      <c r="D106" t="s">
        <v>280</v>
      </c>
      <c r="E106" t="s">
        <v>281</v>
      </c>
      <c r="F106" t="s">
        <v>317</v>
      </c>
      <c r="G106" t="s">
        <v>31</v>
      </c>
      <c r="H106" t="s">
        <v>32</v>
      </c>
      <c r="I106" t="s">
        <v>318</v>
      </c>
      <c r="L106" s="7" t="s">
        <v>17</v>
      </c>
      <c r="M106" s="8" t="s">
        <v>284</v>
      </c>
      <c r="N106" s="8"/>
      <c r="O106" s="8"/>
    </row>
    <row r="107" spans="1:15">
      <c r="A107" t="s">
        <v>319</v>
      </c>
      <c r="D107" t="s">
        <v>280</v>
      </c>
      <c r="E107" t="s">
        <v>281</v>
      </c>
      <c r="F107" t="s">
        <v>320</v>
      </c>
      <c r="G107" t="s">
        <v>31</v>
      </c>
      <c r="H107" t="s">
        <v>32</v>
      </c>
      <c r="I107" t="s">
        <v>321</v>
      </c>
      <c r="L107" s="7" t="s">
        <v>17</v>
      </c>
      <c r="M107" s="8" t="s">
        <v>284</v>
      </c>
      <c r="N107" s="8"/>
      <c r="O107" s="8"/>
    </row>
    <row r="108" spans="1:15">
      <c r="A108" t="s">
        <v>322</v>
      </c>
      <c r="D108" t="s">
        <v>280</v>
      </c>
      <c r="E108" t="s">
        <v>281</v>
      </c>
      <c r="F108" t="s">
        <v>323</v>
      </c>
      <c r="G108" t="str">
        <f>_xlfn.XLOOKUP(F108,'NPO Caseware'!G:G,'NPO Caseware'!H:H)</f>
        <v>PPC</v>
      </c>
      <c r="H108" t="str">
        <f>_xlfn.XLOOKUP(F108,'NPO Caseware'!G:G,'NPO Caseware'!I:I)</f>
        <v>Word</v>
      </c>
      <c r="I108" t="s">
        <v>324</v>
      </c>
      <c r="L108" s="7" t="s">
        <v>17</v>
      </c>
      <c r="M108" s="8" t="s">
        <v>284</v>
      </c>
      <c r="N108" s="8"/>
      <c r="O108" s="8"/>
    </row>
    <row r="109" spans="1:15">
      <c r="A109" t="s">
        <v>325</v>
      </c>
      <c r="D109" t="s">
        <v>280</v>
      </c>
      <c r="E109" t="s">
        <v>281</v>
      </c>
      <c r="F109" t="s">
        <v>326</v>
      </c>
      <c r="G109" t="s">
        <v>31</v>
      </c>
      <c r="H109" t="s">
        <v>32</v>
      </c>
      <c r="I109" t="s">
        <v>327</v>
      </c>
      <c r="L109" s="7" t="s">
        <v>17</v>
      </c>
      <c r="M109" s="8" t="s">
        <v>284</v>
      </c>
      <c r="N109" s="8"/>
      <c r="O109" s="8"/>
    </row>
    <row r="110" spans="1:15">
      <c r="A110" t="s">
        <v>328</v>
      </c>
      <c r="D110" t="s">
        <v>280</v>
      </c>
      <c r="E110" t="s">
        <v>281</v>
      </c>
      <c r="F110" t="s">
        <v>329</v>
      </c>
      <c r="G110" t="s">
        <v>31</v>
      </c>
      <c r="H110" t="s">
        <v>32</v>
      </c>
      <c r="I110" t="s">
        <v>330</v>
      </c>
      <c r="L110" s="7" t="s">
        <v>17</v>
      </c>
      <c r="M110" s="8" t="s">
        <v>284</v>
      </c>
      <c r="N110" s="8"/>
      <c r="O110" s="8"/>
    </row>
    <row r="111" spans="1:15">
      <c r="A111" t="s">
        <v>331</v>
      </c>
      <c r="D111" t="s">
        <v>280</v>
      </c>
      <c r="E111" t="s">
        <v>281</v>
      </c>
      <c r="F111" t="s">
        <v>332</v>
      </c>
      <c r="G111" t="s">
        <v>58</v>
      </c>
      <c r="H111" t="s">
        <v>32</v>
      </c>
      <c r="L111" s="12" t="s">
        <v>277</v>
      </c>
      <c r="M111" s="8" t="s">
        <v>333</v>
      </c>
      <c r="N111" s="8"/>
      <c r="O111" s="8"/>
    </row>
    <row r="112" spans="1:15">
      <c r="A112" t="s">
        <v>334</v>
      </c>
      <c r="D112" t="s">
        <v>280</v>
      </c>
      <c r="E112" t="s">
        <v>281</v>
      </c>
      <c r="F112" t="s">
        <v>335</v>
      </c>
      <c r="G112" t="s">
        <v>58</v>
      </c>
      <c r="H112" t="s">
        <v>32</v>
      </c>
      <c r="L112" s="12" t="s">
        <v>277</v>
      </c>
      <c r="M112" s="8" t="s">
        <v>333</v>
      </c>
      <c r="N112" s="8"/>
      <c r="O112" s="8"/>
    </row>
    <row r="113" spans="1:15">
      <c r="A113" t="s">
        <v>336</v>
      </c>
      <c r="D113" t="s">
        <v>280</v>
      </c>
      <c r="E113" t="s">
        <v>281</v>
      </c>
      <c r="F113" t="s">
        <v>337</v>
      </c>
      <c r="G113" t="s">
        <v>58</v>
      </c>
      <c r="H113" t="s">
        <v>32</v>
      </c>
      <c r="L113" s="12" t="s">
        <v>277</v>
      </c>
      <c r="M113" s="8" t="s">
        <v>333</v>
      </c>
      <c r="N113" s="8"/>
      <c r="O113" s="8"/>
    </row>
    <row r="114" spans="1:15">
      <c r="A114" t="s">
        <v>338</v>
      </c>
      <c r="D114" t="s">
        <v>280</v>
      </c>
      <c r="E114" t="s">
        <v>281</v>
      </c>
      <c r="F114" t="s">
        <v>339</v>
      </c>
      <c r="G114" t="s">
        <v>58</v>
      </c>
      <c r="H114" t="s">
        <v>32</v>
      </c>
      <c r="L114" s="12" t="s">
        <v>277</v>
      </c>
      <c r="M114" s="8" t="s">
        <v>333</v>
      </c>
      <c r="N114" s="8"/>
      <c r="O114" s="8"/>
    </row>
    <row r="115" spans="1:15">
      <c r="A115" t="s">
        <v>340</v>
      </c>
      <c r="D115" t="s">
        <v>280</v>
      </c>
      <c r="E115" t="s">
        <v>281</v>
      </c>
      <c r="F115" t="s">
        <v>341</v>
      </c>
      <c r="G115" t="s">
        <v>58</v>
      </c>
      <c r="H115" t="s">
        <v>32</v>
      </c>
      <c r="L115" s="12" t="s">
        <v>277</v>
      </c>
      <c r="M115" s="8" t="s">
        <v>333</v>
      </c>
      <c r="N115" s="8"/>
      <c r="O115" s="8"/>
    </row>
    <row r="116" spans="1:15">
      <c r="A116" t="s">
        <v>342</v>
      </c>
      <c r="D116" t="s">
        <v>280</v>
      </c>
      <c r="E116" t="s">
        <v>281</v>
      </c>
      <c r="F116" t="s">
        <v>343</v>
      </c>
      <c r="G116" t="s">
        <v>58</v>
      </c>
      <c r="H116" t="s">
        <v>32</v>
      </c>
      <c r="L116" s="12" t="s">
        <v>277</v>
      </c>
      <c r="M116" s="8" t="s">
        <v>333</v>
      </c>
      <c r="N116" s="8"/>
      <c r="O116" s="8"/>
    </row>
    <row r="117" spans="1:15">
      <c r="A117" t="s">
        <v>344</v>
      </c>
      <c r="D117" t="s">
        <v>280</v>
      </c>
      <c r="E117" t="s">
        <v>281</v>
      </c>
      <c r="F117" t="s">
        <v>345</v>
      </c>
      <c r="G117" t="s">
        <v>58</v>
      </c>
      <c r="H117" t="s">
        <v>32</v>
      </c>
      <c r="L117" s="12" t="s">
        <v>277</v>
      </c>
      <c r="M117" s="8" t="s">
        <v>333</v>
      </c>
      <c r="N117" s="8"/>
      <c r="O117" s="8"/>
    </row>
    <row r="118" spans="1:15">
      <c r="A118" t="s">
        <v>346</v>
      </c>
      <c r="D118" t="s">
        <v>280</v>
      </c>
      <c r="E118" t="s">
        <v>281</v>
      </c>
      <c r="F118" t="s">
        <v>347</v>
      </c>
      <c r="G118" t="s">
        <v>58</v>
      </c>
      <c r="H118" t="s">
        <v>32</v>
      </c>
      <c r="L118" s="7" t="s">
        <v>17</v>
      </c>
      <c r="M118" s="8" t="s">
        <v>348</v>
      </c>
      <c r="N118" s="8"/>
      <c r="O118" s="8"/>
    </row>
    <row r="119" spans="1:15">
      <c r="A119" t="s">
        <v>349</v>
      </c>
      <c r="D119" t="s">
        <v>280</v>
      </c>
      <c r="E119" t="s">
        <v>281</v>
      </c>
      <c r="F119" t="s">
        <v>350</v>
      </c>
      <c r="G119" t="s">
        <v>58</v>
      </c>
      <c r="H119" t="s">
        <v>32</v>
      </c>
      <c r="L119" s="7" t="s">
        <v>17</v>
      </c>
      <c r="M119" s="8" t="s">
        <v>348</v>
      </c>
      <c r="N119" s="8"/>
      <c r="O119" s="8"/>
    </row>
    <row r="120" spans="1:15">
      <c r="A120" t="s">
        <v>351</v>
      </c>
      <c r="D120" t="s">
        <v>280</v>
      </c>
      <c r="E120" t="s">
        <v>281</v>
      </c>
      <c r="F120" t="s">
        <v>352</v>
      </c>
      <c r="G120" t="s">
        <v>58</v>
      </c>
      <c r="H120" t="s">
        <v>32</v>
      </c>
      <c r="L120" s="7" t="s">
        <v>17</v>
      </c>
      <c r="M120" s="8" t="s">
        <v>348</v>
      </c>
      <c r="N120" s="8"/>
      <c r="O120" s="8"/>
    </row>
    <row r="121" spans="1:15">
      <c r="A121" t="s">
        <v>353</v>
      </c>
      <c r="D121" t="s">
        <v>280</v>
      </c>
      <c r="E121" t="s">
        <v>281</v>
      </c>
      <c r="F121" t="s">
        <v>354</v>
      </c>
      <c r="G121" t="s">
        <v>58</v>
      </c>
      <c r="H121" t="s">
        <v>32</v>
      </c>
      <c r="L121" s="7" t="s">
        <v>17</v>
      </c>
      <c r="M121" s="8" t="s">
        <v>348</v>
      </c>
      <c r="N121" s="8"/>
      <c r="O121" s="8"/>
    </row>
    <row r="122" spans="1:15">
      <c r="A122" t="s">
        <v>355</v>
      </c>
      <c r="D122" t="s">
        <v>280</v>
      </c>
      <c r="E122" t="s">
        <v>281</v>
      </c>
      <c r="F122" t="s">
        <v>356</v>
      </c>
      <c r="G122" t="s">
        <v>58</v>
      </c>
      <c r="H122" t="s">
        <v>32</v>
      </c>
      <c r="L122" s="7" t="s">
        <v>17</v>
      </c>
      <c r="M122" s="8" t="s">
        <v>348</v>
      </c>
      <c r="N122" s="8"/>
      <c r="O122" s="8"/>
    </row>
    <row r="123" spans="1:15">
      <c r="A123" t="s">
        <v>357</v>
      </c>
      <c r="D123" t="s">
        <v>280</v>
      </c>
      <c r="E123" t="s">
        <v>281</v>
      </c>
      <c r="F123" t="s">
        <v>358</v>
      </c>
      <c r="G123" t="s">
        <v>58</v>
      </c>
      <c r="H123" t="s">
        <v>32</v>
      </c>
      <c r="L123" s="7" t="s">
        <v>17</v>
      </c>
      <c r="M123" s="8" t="s">
        <v>348</v>
      </c>
      <c r="N123" s="8"/>
      <c r="O123" s="8"/>
    </row>
    <row r="124" spans="1:15">
      <c r="A124" t="s">
        <v>359</v>
      </c>
      <c r="D124" t="s">
        <v>280</v>
      </c>
      <c r="E124" t="s">
        <v>281</v>
      </c>
      <c r="F124" t="s">
        <v>360</v>
      </c>
      <c r="G124" t="str">
        <f>_xlfn.XLOOKUP(F124,'NPO Caseware'!G:G,'NPO Caseware'!H:H)</f>
        <v>HCLLP WP</v>
      </c>
      <c r="H124" t="str">
        <f>_xlfn.XLOOKUP(F124,'NPO Caseware'!G:G,'NPO Caseware'!I:I)</f>
        <v>Word</v>
      </c>
      <c r="L124" s="7" t="s">
        <v>17</v>
      </c>
      <c r="M124" s="8" t="s">
        <v>348</v>
      </c>
      <c r="N124" s="8"/>
      <c r="O124" s="8"/>
    </row>
    <row r="125" spans="1:15">
      <c r="A125" t="s">
        <v>361</v>
      </c>
      <c r="D125" t="s">
        <v>280</v>
      </c>
      <c r="E125" t="s">
        <v>281</v>
      </c>
      <c r="F125" t="s">
        <v>362</v>
      </c>
      <c r="G125" t="str">
        <f>_xlfn.XLOOKUP(F125,'NPO Caseware'!G:G,'NPO Caseware'!H:H)</f>
        <v>HCLLP WP</v>
      </c>
      <c r="H125" t="str">
        <f>_xlfn.XLOOKUP(F125,'NPO Caseware'!G:G,'NPO Caseware'!I:I)</f>
        <v>Word</v>
      </c>
      <c r="L125" s="7" t="s">
        <v>17</v>
      </c>
      <c r="M125" s="8" t="s">
        <v>284</v>
      </c>
      <c r="N125" s="8"/>
      <c r="O125" s="8"/>
    </row>
    <row r="126" spans="1:15">
      <c r="A126" t="s">
        <v>363</v>
      </c>
      <c r="D126" t="s">
        <v>280</v>
      </c>
      <c r="E126" t="s">
        <v>281</v>
      </c>
      <c r="F126" t="s">
        <v>364</v>
      </c>
      <c r="G126" t="str">
        <f>_xlfn.XLOOKUP(F126,'NPO Caseware'!G:G,'NPO Caseware'!H:H)</f>
        <v>HCLLP WP</v>
      </c>
      <c r="H126" t="str">
        <f>_xlfn.XLOOKUP(F126,'NPO Caseware'!G:G,'NPO Caseware'!I:I)</f>
        <v>Word</v>
      </c>
      <c r="L126" s="7" t="s">
        <v>17</v>
      </c>
      <c r="M126" s="8" t="s">
        <v>284</v>
      </c>
      <c r="N126" s="8"/>
      <c r="O126" s="8"/>
    </row>
    <row r="127" spans="1:15">
      <c r="A127" t="s">
        <v>365</v>
      </c>
      <c r="D127" t="s">
        <v>280</v>
      </c>
      <c r="E127" t="s">
        <v>281</v>
      </c>
      <c r="F127" t="s">
        <v>366</v>
      </c>
      <c r="G127" t="str">
        <f>_xlfn.XLOOKUP(F127,'NPO Caseware'!G:G,'NPO Caseware'!H:H)</f>
        <v>PBC</v>
      </c>
      <c r="H127" t="str">
        <f>_xlfn.XLOOKUP(F127,'NPO Caseware'!G:G,'NPO Caseware'!I:I)</f>
        <v>Word</v>
      </c>
      <c r="L127" s="7" t="s">
        <v>17</v>
      </c>
      <c r="M127" s="8" t="s">
        <v>367</v>
      </c>
      <c r="N127" s="8"/>
      <c r="O127" s="8"/>
    </row>
    <row r="128" spans="1:15">
      <c r="A128" t="s">
        <v>368</v>
      </c>
      <c r="D128" t="s">
        <v>280</v>
      </c>
      <c r="E128" t="s">
        <v>281</v>
      </c>
      <c r="F128" t="s">
        <v>369</v>
      </c>
      <c r="G128" t="str">
        <f>_xlfn.XLOOKUP(F128,'NPO Caseware'!G:G,'NPO Caseware'!H:H)</f>
        <v>HCLLP WP</v>
      </c>
      <c r="H128" t="str">
        <f>_xlfn.XLOOKUP(F128,'NPO Caseware'!G:G,'NPO Caseware'!I:I)</f>
        <v>Word</v>
      </c>
      <c r="L128" s="7" t="s">
        <v>17</v>
      </c>
      <c r="M128" s="8" t="s">
        <v>367</v>
      </c>
      <c r="N128" s="8"/>
      <c r="O128" s="8"/>
    </row>
    <row r="129" spans="1:15">
      <c r="A129" t="s">
        <v>370</v>
      </c>
      <c r="D129" t="s">
        <v>280</v>
      </c>
      <c r="E129" t="s">
        <v>281</v>
      </c>
      <c r="F129" t="s">
        <v>371</v>
      </c>
      <c r="G129" t="str">
        <f>_xlfn.XLOOKUP(F129,'NPO Caseware'!G:G,'NPO Caseware'!H:H)</f>
        <v>PBC</v>
      </c>
      <c r="H129" t="str">
        <f>_xlfn.XLOOKUP(F129,'NPO Caseware'!G:G,'NPO Caseware'!I:I)</f>
        <v>PDF</v>
      </c>
      <c r="L129" s="7" t="s">
        <v>17</v>
      </c>
      <c r="M129" s="8" t="s">
        <v>367</v>
      </c>
      <c r="N129" s="8"/>
      <c r="O129" s="8"/>
    </row>
    <row r="130" spans="1:15">
      <c r="A130" t="s">
        <v>372</v>
      </c>
      <c r="D130" t="s">
        <v>280</v>
      </c>
      <c r="E130" t="s">
        <v>281</v>
      </c>
      <c r="F130" t="s">
        <v>373</v>
      </c>
      <c r="G130" t="str">
        <f>_xlfn.XLOOKUP(F130,'NPO Caseware'!G:G,'NPO Caseware'!H:H)</f>
        <v>HCLLP WP</v>
      </c>
      <c r="H130" t="str">
        <f>_xlfn.XLOOKUP(F130,'NPO Caseware'!G:G,'NPO Caseware'!I:I)</f>
        <v>Word</v>
      </c>
      <c r="L130" s="7" t="s">
        <v>17</v>
      </c>
      <c r="M130" s="8" t="s">
        <v>367</v>
      </c>
      <c r="N130" s="8"/>
      <c r="O130" s="8"/>
    </row>
    <row r="131" spans="1:15">
      <c r="A131" t="s">
        <v>374</v>
      </c>
      <c r="D131" t="s">
        <v>280</v>
      </c>
      <c r="E131" t="s">
        <v>281</v>
      </c>
      <c r="F131" t="s">
        <v>375</v>
      </c>
      <c r="G131" t="str">
        <f>_xlfn.XLOOKUP(F131,'NPO Caseware'!G:G,'NPO Caseware'!H:H)</f>
        <v>HCLLP WP</v>
      </c>
      <c r="H131" t="str">
        <f>_xlfn.XLOOKUP(F131,'NPO Caseware'!G:G,'NPO Caseware'!I:I)</f>
        <v>Word</v>
      </c>
      <c r="I131" t="s">
        <v>376</v>
      </c>
      <c r="L131" s="7" t="s">
        <v>17</v>
      </c>
      <c r="M131" s="8" t="s">
        <v>284</v>
      </c>
      <c r="N131" s="8"/>
      <c r="O131" s="8"/>
    </row>
    <row r="132" spans="1:15">
      <c r="A132" t="s">
        <v>377</v>
      </c>
      <c r="D132" t="s">
        <v>280</v>
      </c>
      <c r="E132" t="s">
        <v>281</v>
      </c>
      <c r="F132" t="s">
        <v>378</v>
      </c>
      <c r="G132" t="str">
        <f>_xlfn.XLOOKUP(F132,'NPO Caseware'!G:G,'NPO Caseware'!H:H)</f>
        <v>HCLLP WP</v>
      </c>
      <c r="H132" t="str">
        <f>_xlfn.XLOOKUP(F132,'NPO Caseware'!G:G,'NPO Caseware'!I:I)</f>
        <v>Word</v>
      </c>
      <c r="I132" t="s">
        <v>376</v>
      </c>
      <c r="L132" s="7" t="s">
        <v>17</v>
      </c>
      <c r="M132" s="8" t="s">
        <v>284</v>
      </c>
      <c r="N132" s="8"/>
      <c r="O132" s="8"/>
    </row>
    <row r="133" spans="1:15">
      <c r="A133" t="s">
        <v>379</v>
      </c>
      <c r="D133" t="s">
        <v>280</v>
      </c>
      <c r="E133" t="s">
        <v>281</v>
      </c>
      <c r="F133" t="s">
        <v>380</v>
      </c>
      <c r="G133" t="str">
        <f>_xlfn.XLOOKUP(F133,'NPO Caseware'!G:G,'NPO Caseware'!H:H)</f>
        <v>PBC</v>
      </c>
      <c r="H133" t="str">
        <f>_xlfn.XLOOKUP(F133,'NPO Caseware'!G:G,'NPO Caseware'!I:I)</f>
        <v>PDF</v>
      </c>
      <c r="L133" s="7" t="s">
        <v>17</v>
      </c>
      <c r="M133" s="8" t="s">
        <v>284</v>
      </c>
      <c r="N133" s="8"/>
      <c r="O133" s="8"/>
    </row>
    <row r="134" spans="1:15">
      <c r="A134" t="s">
        <v>381</v>
      </c>
      <c r="D134" t="s">
        <v>280</v>
      </c>
      <c r="E134" t="s">
        <v>281</v>
      </c>
      <c r="F134" t="s">
        <v>382</v>
      </c>
      <c r="G134" t="str">
        <f>_xlfn.XLOOKUP(F134,'NPO Caseware'!G:G,'NPO Caseware'!H:H)</f>
        <v>PBC</v>
      </c>
      <c r="H134" t="str">
        <f>_xlfn.XLOOKUP(F134,'NPO Caseware'!G:G,'NPO Caseware'!I:I)</f>
        <v>PDF</v>
      </c>
      <c r="L134" s="7" t="s">
        <v>17</v>
      </c>
      <c r="M134" s="8" t="s">
        <v>284</v>
      </c>
      <c r="N134" s="8"/>
      <c r="O134" s="8"/>
    </row>
    <row r="135" spans="1:15">
      <c r="A135" t="s">
        <v>383</v>
      </c>
      <c r="D135" t="s">
        <v>280</v>
      </c>
      <c r="E135" t="s">
        <v>281</v>
      </c>
      <c r="F135" t="s">
        <v>384</v>
      </c>
      <c r="G135" t="str">
        <f>_xlfn.XLOOKUP(F135,'NPO Caseware'!G:G,'NPO Caseware'!H:H)</f>
        <v>PBC</v>
      </c>
      <c r="H135" t="str">
        <f>_xlfn.XLOOKUP(F135,'NPO Caseware'!G:G,'NPO Caseware'!I:I)</f>
        <v>PDF</v>
      </c>
      <c r="L135" s="7" t="s">
        <v>17</v>
      </c>
      <c r="M135" s="8" t="s">
        <v>284</v>
      </c>
      <c r="N135" s="8"/>
      <c r="O135" s="8"/>
    </row>
    <row r="136" spans="1:15">
      <c r="A136" t="s">
        <v>385</v>
      </c>
      <c r="D136" t="s">
        <v>280</v>
      </c>
      <c r="E136" t="s">
        <v>281</v>
      </c>
      <c r="F136" t="s">
        <v>386</v>
      </c>
      <c r="G136" t="str">
        <f>_xlfn.XLOOKUP(F136,'NPO Caseware'!G:G,'NPO Caseware'!H:H)</f>
        <v>PBC</v>
      </c>
      <c r="H136" t="str">
        <f>_xlfn.XLOOKUP(F136,'NPO Caseware'!G:G,'NPO Caseware'!I:I)</f>
        <v>PDF</v>
      </c>
      <c r="L136" s="7" t="s">
        <v>17</v>
      </c>
      <c r="M136" s="8" t="s">
        <v>284</v>
      </c>
      <c r="N136" s="8"/>
      <c r="O136" s="8"/>
    </row>
    <row r="137" spans="1:15" ht="26.45">
      <c r="A137" t="s">
        <v>387</v>
      </c>
      <c r="D137" t="s">
        <v>388</v>
      </c>
      <c r="E137" t="s">
        <v>389</v>
      </c>
      <c r="F137" t="s">
        <v>390</v>
      </c>
      <c r="G137" t="str">
        <f>_xlfn.XLOOKUP(F137,'NPO Caseware'!G:G,'NPO Caseware'!H:H)</f>
        <v>HCLLP WP</v>
      </c>
      <c r="H137" t="str">
        <f>_xlfn.XLOOKUP(F137,'NPO Caseware'!G:G,'NPO Caseware'!I:I)</f>
        <v>Word</v>
      </c>
      <c r="I137" t="s">
        <v>391</v>
      </c>
      <c r="L137" s="7" t="s">
        <v>17</v>
      </c>
      <c r="M137" s="8" t="s">
        <v>392</v>
      </c>
      <c r="N137" s="8"/>
      <c r="O137" s="8"/>
    </row>
    <row r="138" spans="1:15">
      <c r="A138" t="s">
        <v>393</v>
      </c>
      <c r="D138" t="s">
        <v>388</v>
      </c>
      <c r="E138" t="s">
        <v>389</v>
      </c>
      <c r="F138" t="s">
        <v>394</v>
      </c>
      <c r="G138" t="str">
        <f>_xlfn.XLOOKUP(F138,'NPO Caseware'!G:G,'NPO Caseware'!H:H)</f>
        <v>HCLLP WP</v>
      </c>
      <c r="H138" t="str">
        <f>_xlfn.XLOOKUP(F138,'NPO Caseware'!G:G,'NPO Caseware'!I:I)</f>
        <v>Word</v>
      </c>
      <c r="I138" t="s">
        <v>395</v>
      </c>
      <c r="L138" s="7" t="s">
        <v>17</v>
      </c>
      <c r="M138" s="8" t="s">
        <v>396</v>
      </c>
      <c r="N138" s="8"/>
      <c r="O138" s="8"/>
    </row>
    <row r="139" spans="1:15">
      <c r="A139" t="s">
        <v>397</v>
      </c>
      <c r="D139" t="s">
        <v>388</v>
      </c>
      <c r="E139" t="s">
        <v>389</v>
      </c>
      <c r="F139" t="s">
        <v>398</v>
      </c>
      <c r="G139" t="str">
        <f>_xlfn.XLOOKUP(F139,'NPO Caseware'!G:G,'NPO Caseware'!H:H)</f>
        <v>PBC</v>
      </c>
      <c r="H139" t="str">
        <f>_xlfn.XLOOKUP(F139,'NPO Caseware'!G:G,'NPO Caseware'!I:I)</f>
        <v>PDF</v>
      </c>
      <c r="L139" s="7" t="s">
        <v>17</v>
      </c>
      <c r="M139" s="8" t="s">
        <v>260</v>
      </c>
      <c r="N139" s="8"/>
      <c r="O139" s="8"/>
    </row>
    <row r="140" spans="1:15">
      <c r="A140" t="s">
        <v>399</v>
      </c>
      <c r="D140" t="s">
        <v>388</v>
      </c>
      <c r="E140" t="s">
        <v>389</v>
      </c>
      <c r="F140" t="s">
        <v>400</v>
      </c>
      <c r="G140" t="str">
        <f>_xlfn.XLOOKUP(F140,'NPO Caseware'!G:G,'NPO Caseware'!H:H)</f>
        <v>PBC</v>
      </c>
      <c r="H140" t="str">
        <f>_xlfn.XLOOKUP(F140,'NPO Caseware'!G:G,'NPO Caseware'!I:I)</f>
        <v>PDF</v>
      </c>
      <c r="L140" s="7" t="s">
        <v>17</v>
      </c>
      <c r="M140" s="8" t="s">
        <v>260</v>
      </c>
      <c r="N140" s="8"/>
      <c r="O140" s="8"/>
    </row>
    <row r="141" spans="1:15">
      <c r="A141" t="s">
        <v>401</v>
      </c>
      <c r="D141" t="s">
        <v>388</v>
      </c>
      <c r="E141" t="s">
        <v>389</v>
      </c>
      <c r="F141" t="s">
        <v>402</v>
      </c>
      <c r="G141" t="str">
        <f>_xlfn.XLOOKUP(F141,'NPO Caseware'!G:G,'NPO Caseware'!H:H)</f>
        <v>PBC</v>
      </c>
      <c r="H141" t="str">
        <f>_xlfn.XLOOKUP(F141,'NPO Caseware'!G:G,'NPO Caseware'!I:I)</f>
        <v>PDF</v>
      </c>
      <c r="L141" s="7" t="s">
        <v>17</v>
      </c>
      <c r="M141" s="8" t="s">
        <v>260</v>
      </c>
      <c r="N141" s="8"/>
      <c r="O141" s="8"/>
    </row>
    <row r="142" spans="1:15">
      <c r="A142" t="s">
        <v>403</v>
      </c>
      <c r="D142" t="s">
        <v>388</v>
      </c>
      <c r="E142" t="s">
        <v>389</v>
      </c>
      <c r="F142" t="s">
        <v>404</v>
      </c>
      <c r="G142" t="str">
        <f>_xlfn.XLOOKUP(F142,'NPO Caseware'!G:G,'NPO Caseware'!H:H)</f>
        <v>PBC</v>
      </c>
      <c r="H142" t="str">
        <f>_xlfn.XLOOKUP(F142,'NPO Caseware'!G:G,'NPO Caseware'!I:I)</f>
        <v>PDF</v>
      </c>
      <c r="L142" s="7" t="s">
        <v>17</v>
      </c>
      <c r="M142" s="8" t="s">
        <v>260</v>
      </c>
      <c r="N142" s="8"/>
      <c r="O142" s="8"/>
    </row>
    <row r="143" spans="1:15">
      <c r="A143" t="s">
        <v>405</v>
      </c>
      <c r="D143" t="s">
        <v>388</v>
      </c>
      <c r="E143" t="s">
        <v>389</v>
      </c>
      <c r="F143" t="s">
        <v>406</v>
      </c>
      <c r="G143" t="str">
        <f>_xlfn.XLOOKUP(F143,'NPO Caseware'!G:G,'NPO Caseware'!H:H)</f>
        <v>HCLLP WP</v>
      </c>
      <c r="H143" t="str">
        <f>_xlfn.XLOOKUP(F143,'NPO Caseware'!G:G,'NPO Caseware'!I:I)</f>
        <v>Excel</v>
      </c>
      <c r="L143" s="7" t="s">
        <v>17</v>
      </c>
      <c r="M143" s="8" t="s">
        <v>407</v>
      </c>
      <c r="N143" s="8"/>
      <c r="O143" s="8"/>
    </row>
    <row r="144" spans="1:15">
      <c r="A144" t="s">
        <v>408</v>
      </c>
      <c r="D144" t="s">
        <v>388</v>
      </c>
      <c r="E144" t="s">
        <v>389</v>
      </c>
      <c r="F144" t="s">
        <v>409</v>
      </c>
      <c r="G144" t="str">
        <f>_xlfn.XLOOKUP(F144,'NPO Caseware'!G:G,'NPO Caseware'!H:H)</f>
        <v>HCLLP WP</v>
      </c>
      <c r="H144" t="str">
        <f>_xlfn.XLOOKUP(F144,'NPO Caseware'!G:G,'NPO Caseware'!I:I)</f>
        <v>Excel</v>
      </c>
      <c r="L144" s="7" t="s">
        <v>17</v>
      </c>
      <c r="M144" s="8" t="s">
        <v>407</v>
      </c>
      <c r="N144" s="8"/>
      <c r="O144" s="8"/>
    </row>
    <row r="145" spans="1:15" ht="26.45">
      <c r="A145" t="s">
        <v>410</v>
      </c>
      <c r="D145" t="s">
        <v>388</v>
      </c>
      <c r="E145" t="s">
        <v>389</v>
      </c>
      <c r="F145" t="s">
        <v>411</v>
      </c>
      <c r="G145" t="str">
        <f>_xlfn.XLOOKUP(F145,'NPO Caseware'!G:G,'NPO Caseware'!H:H)</f>
        <v>HCLLP WP</v>
      </c>
      <c r="H145" t="str">
        <f>_xlfn.XLOOKUP(F145,'NPO Caseware'!G:G,'NPO Caseware'!I:I)</f>
        <v>Excel</v>
      </c>
      <c r="L145" s="7" t="s">
        <v>17</v>
      </c>
      <c r="M145" s="8" t="s">
        <v>392</v>
      </c>
      <c r="N145" s="8"/>
      <c r="O145" s="8"/>
    </row>
    <row r="146" spans="1:15">
      <c r="A146" t="s">
        <v>412</v>
      </c>
      <c r="D146" t="s">
        <v>388</v>
      </c>
      <c r="E146" t="s">
        <v>389</v>
      </c>
      <c r="F146" t="s">
        <v>413</v>
      </c>
      <c r="G146" t="str">
        <f>_xlfn.XLOOKUP(F146,'NPO Caseware'!G:G,'NPO Caseware'!H:H)</f>
        <v>HCLLP WP</v>
      </c>
      <c r="H146" t="str">
        <f>_xlfn.XLOOKUP(F146,'NPO Caseware'!G:G,'NPO Caseware'!I:I)</f>
        <v>Excel</v>
      </c>
      <c r="L146" s="7" t="s">
        <v>17</v>
      </c>
      <c r="M146" s="8" t="s">
        <v>407</v>
      </c>
      <c r="N146" s="8"/>
      <c r="O146" s="8"/>
    </row>
    <row r="147" spans="1:15" ht="26.45">
      <c r="A147" t="s">
        <v>414</v>
      </c>
      <c r="D147" t="s">
        <v>388</v>
      </c>
      <c r="E147" t="s">
        <v>389</v>
      </c>
      <c r="F147" t="s">
        <v>415</v>
      </c>
      <c r="G147" t="str">
        <f>_xlfn.XLOOKUP(F147,'NPO Caseware'!G:G,'NPO Caseware'!H:H)</f>
        <v>HCLLP WP</v>
      </c>
      <c r="H147" t="str">
        <f>_xlfn.XLOOKUP(F147,'NPO Caseware'!G:G,'NPO Caseware'!I:I)</f>
        <v>Word</v>
      </c>
      <c r="L147" s="7" t="s">
        <v>17</v>
      </c>
      <c r="M147" s="8" t="s">
        <v>392</v>
      </c>
      <c r="N147" s="8"/>
      <c r="O147" s="8"/>
    </row>
    <row r="148" spans="1:15">
      <c r="A148" t="s">
        <v>416</v>
      </c>
      <c r="D148" t="s">
        <v>417</v>
      </c>
      <c r="E148" t="s">
        <v>418</v>
      </c>
      <c r="F148" t="s">
        <v>419</v>
      </c>
      <c r="G148" t="s">
        <v>31</v>
      </c>
      <c r="H148" t="s">
        <v>32</v>
      </c>
      <c r="I148" t="s">
        <v>420</v>
      </c>
      <c r="L148" s="7" t="s">
        <v>17</v>
      </c>
      <c r="M148" s="8" t="s">
        <v>300</v>
      </c>
      <c r="N148" s="8"/>
      <c r="O148" s="8"/>
    </row>
    <row r="149" spans="1:15">
      <c r="A149" t="s">
        <v>421</v>
      </c>
      <c r="D149" t="s">
        <v>417</v>
      </c>
      <c r="E149" t="s">
        <v>418</v>
      </c>
      <c r="F149" t="s">
        <v>422</v>
      </c>
      <c r="G149" t="s">
        <v>31</v>
      </c>
      <c r="H149" t="s">
        <v>32</v>
      </c>
      <c r="I149" t="s">
        <v>420</v>
      </c>
      <c r="L149" s="7" t="s">
        <v>17</v>
      </c>
      <c r="M149" s="8" t="s">
        <v>300</v>
      </c>
      <c r="N149" s="8"/>
      <c r="O149" s="8"/>
    </row>
    <row r="150" spans="1:15">
      <c r="A150" t="s">
        <v>423</v>
      </c>
      <c r="D150" t="s">
        <v>417</v>
      </c>
      <c r="E150" t="s">
        <v>418</v>
      </c>
      <c r="F150" t="s">
        <v>424</v>
      </c>
      <c r="G150" t="s">
        <v>31</v>
      </c>
      <c r="H150" t="s">
        <v>32</v>
      </c>
      <c r="I150" t="s">
        <v>420</v>
      </c>
      <c r="L150" s="7" t="s">
        <v>17</v>
      </c>
      <c r="M150" s="8" t="s">
        <v>300</v>
      </c>
      <c r="N150" s="8"/>
      <c r="O150" s="8"/>
    </row>
    <row r="151" spans="1:15">
      <c r="A151" t="s">
        <v>425</v>
      </c>
      <c r="D151" t="s">
        <v>417</v>
      </c>
      <c r="E151" t="s">
        <v>418</v>
      </c>
      <c r="F151" t="s">
        <v>426</v>
      </c>
      <c r="G151" t="s">
        <v>31</v>
      </c>
      <c r="H151" t="s">
        <v>32</v>
      </c>
      <c r="I151" t="s">
        <v>420</v>
      </c>
      <c r="L151" s="7" t="s">
        <v>17</v>
      </c>
      <c r="M151" s="8" t="s">
        <v>300</v>
      </c>
      <c r="N151" s="8"/>
      <c r="O151" s="8"/>
    </row>
    <row r="152" spans="1:15">
      <c r="A152" t="s">
        <v>427</v>
      </c>
      <c r="D152" t="s">
        <v>417</v>
      </c>
      <c r="E152" t="s">
        <v>418</v>
      </c>
      <c r="F152" t="s">
        <v>428</v>
      </c>
      <c r="G152" t="s">
        <v>31</v>
      </c>
      <c r="H152" t="s">
        <v>32</v>
      </c>
      <c r="I152" t="s">
        <v>429</v>
      </c>
      <c r="L152" s="7" t="s">
        <v>17</v>
      </c>
      <c r="M152" s="8" t="s">
        <v>300</v>
      </c>
      <c r="N152" s="8"/>
      <c r="O152" s="8"/>
    </row>
    <row r="153" spans="1:15">
      <c r="A153" t="s">
        <v>430</v>
      </c>
      <c r="D153" t="s">
        <v>417</v>
      </c>
      <c r="E153" t="s">
        <v>418</v>
      </c>
      <c r="F153" t="s">
        <v>431</v>
      </c>
      <c r="G153" t="s">
        <v>31</v>
      </c>
      <c r="H153" t="s">
        <v>32</v>
      </c>
      <c r="I153" t="s">
        <v>429</v>
      </c>
      <c r="L153" s="7" t="s">
        <v>17</v>
      </c>
      <c r="M153" s="8" t="s">
        <v>300</v>
      </c>
      <c r="N153" s="8"/>
      <c r="O153" s="8"/>
    </row>
    <row r="154" spans="1:15">
      <c r="A154" t="s">
        <v>432</v>
      </c>
      <c r="D154" t="s">
        <v>417</v>
      </c>
      <c r="E154" t="s">
        <v>418</v>
      </c>
      <c r="F154" t="s">
        <v>433</v>
      </c>
      <c r="G154" t="s">
        <v>31</v>
      </c>
      <c r="H154" t="s">
        <v>32</v>
      </c>
      <c r="I154" t="s">
        <v>429</v>
      </c>
      <c r="L154" s="7" t="s">
        <v>17</v>
      </c>
      <c r="M154" s="8" t="s">
        <v>300</v>
      </c>
      <c r="N154" s="8"/>
      <c r="O154" s="8"/>
    </row>
    <row r="155" spans="1:15">
      <c r="A155" t="s">
        <v>434</v>
      </c>
      <c r="D155" t="s">
        <v>417</v>
      </c>
      <c r="E155" t="s">
        <v>418</v>
      </c>
      <c r="F155" t="s">
        <v>435</v>
      </c>
      <c r="G155" t="s">
        <v>31</v>
      </c>
      <c r="H155" t="s">
        <v>32</v>
      </c>
      <c r="I155" t="s">
        <v>429</v>
      </c>
      <c r="L155" s="7" t="s">
        <v>17</v>
      </c>
      <c r="M155" s="8" t="s">
        <v>300</v>
      </c>
      <c r="N155" s="8"/>
      <c r="O155" s="8"/>
    </row>
    <row r="156" spans="1:15">
      <c r="A156" t="s">
        <v>436</v>
      </c>
      <c r="D156" t="s">
        <v>417</v>
      </c>
      <c r="E156" t="s">
        <v>418</v>
      </c>
      <c r="F156" t="s">
        <v>437</v>
      </c>
      <c r="G156" t="s">
        <v>58</v>
      </c>
      <c r="H156" t="s">
        <v>59</v>
      </c>
      <c r="L156" s="7" t="s">
        <v>17</v>
      </c>
      <c r="M156" s="8" t="s">
        <v>438</v>
      </c>
      <c r="N156" s="8"/>
      <c r="O156" s="8"/>
    </row>
    <row r="157" spans="1:15">
      <c r="A157" t="s">
        <v>439</v>
      </c>
      <c r="D157" t="s">
        <v>440</v>
      </c>
      <c r="E157" t="s">
        <v>441</v>
      </c>
      <c r="F157" t="s">
        <v>442</v>
      </c>
      <c r="G157" t="str">
        <f>_xlfn.XLOOKUP(F157,'NPO Caseware'!G:G,'NPO Caseware'!H:H)</f>
        <v>HCLLP WP</v>
      </c>
      <c r="H157" t="str">
        <f>_xlfn.XLOOKUP(F157,'NPO Caseware'!G:G,'NPO Caseware'!I:I)</f>
        <v>LeadSheet/Excel</v>
      </c>
      <c r="L157" s="7" t="s">
        <v>17</v>
      </c>
      <c r="M157" s="8" t="s">
        <v>443</v>
      </c>
      <c r="N157" s="8"/>
      <c r="O157" s="8"/>
    </row>
    <row r="158" spans="1:15">
      <c r="A158" t="s">
        <v>444</v>
      </c>
      <c r="D158" t="s">
        <v>440</v>
      </c>
      <c r="E158" t="s">
        <v>441</v>
      </c>
      <c r="F158" t="s">
        <v>445</v>
      </c>
      <c r="G158" t="str">
        <f>_xlfn.XLOOKUP(F158,'NPO Caseware'!G:G,'NPO Caseware'!H:H)</f>
        <v>PPC</v>
      </c>
      <c r="H158" t="str">
        <f>_xlfn.XLOOKUP(F158,'NPO Caseware'!G:G,'NPO Caseware'!I:I)</f>
        <v>Word</v>
      </c>
      <c r="I158" t="s">
        <v>446</v>
      </c>
      <c r="L158" s="7" t="s">
        <v>17</v>
      </c>
      <c r="M158" s="8" t="s">
        <v>28</v>
      </c>
      <c r="N158" s="8"/>
      <c r="O158" s="8"/>
    </row>
    <row r="159" spans="1:15">
      <c r="A159" t="s">
        <v>447</v>
      </c>
      <c r="D159" t="s">
        <v>440</v>
      </c>
      <c r="E159" t="s">
        <v>441</v>
      </c>
      <c r="F159" t="s">
        <v>448</v>
      </c>
      <c r="G159" t="str">
        <f>_xlfn.XLOOKUP(F159,'NPO Caseware'!G:G,'NPO Caseware'!H:H)</f>
        <v>HCLLP WP</v>
      </c>
      <c r="H159" t="str">
        <f>_xlfn.XLOOKUP(F159,'NPO Caseware'!G:G,'NPO Caseware'!I:I)</f>
        <v>Excel</v>
      </c>
      <c r="L159" s="7" t="s">
        <v>17</v>
      </c>
      <c r="M159" s="8" t="s">
        <v>449</v>
      </c>
      <c r="N159" s="8"/>
      <c r="O159" s="8"/>
    </row>
    <row r="160" spans="1:15">
      <c r="A160" t="s">
        <v>450</v>
      </c>
      <c r="D160" t="s">
        <v>440</v>
      </c>
      <c r="E160" t="s">
        <v>441</v>
      </c>
      <c r="F160" t="s">
        <v>451</v>
      </c>
      <c r="G160" t="str">
        <f>_xlfn.XLOOKUP(F160,'NPO Caseware'!G:G,'NPO Caseware'!H:H)</f>
        <v>HCLLP WP</v>
      </c>
      <c r="H160" t="str">
        <f>_xlfn.XLOOKUP(F160,'NPO Caseware'!G:G,'NPO Caseware'!I:I)</f>
        <v>Excel</v>
      </c>
      <c r="L160" s="7" t="s">
        <v>17</v>
      </c>
      <c r="M160" s="8" t="s">
        <v>407</v>
      </c>
      <c r="N160" s="8"/>
      <c r="O160" s="8"/>
    </row>
    <row r="161" spans="1:15">
      <c r="A161" t="s">
        <v>452</v>
      </c>
      <c r="D161" t="s">
        <v>440</v>
      </c>
      <c r="E161" t="s">
        <v>441</v>
      </c>
      <c r="F161" t="s">
        <v>453</v>
      </c>
      <c r="G161" t="str">
        <f>_xlfn.XLOOKUP(F161,'NPO Caseware'!G:G,'NPO Caseware'!H:H)</f>
        <v>PBC</v>
      </c>
      <c r="H161" t="str">
        <f>_xlfn.XLOOKUP(F161,'NPO Caseware'!G:G,'NPO Caseware'!I:I)</f>
        <v>PDF</v>
      </c>
      <c r="L161" s="7" t="s">
        <v>17</v>
      </c>
      <c r="M161" s="8" t="s">
        <v>214</v>
      </c>
      <c r="N161" s="8"/>
      <c r="O161" s="8"/>
    </row>
    <row r="162" spans="1:15">
      <c r="A162" t="s">
        <v>454</v>
      </c>
      <c r="D162" t="s">
        <v>440</v>
      </c>
      <c r="E162" t="s">
        <v>441</v>
      </c>
      <c r="F162" t="s">
        <v>455</v>
      </c>
      <c r="G162" t="str">
        <f>_xlfn.XLOOKUP(F162,'NPO Caseware'!G:G,'NPO Caseware'!H:H)</f>
        <v>HCLLP WP</v>
      </c>
      <c r="H162" t="str">
        <f>_xlfn.XLOOKUP(F162,'NPO Caseware'!G:G,'NPO Caseware'!I:I)</f>
        <v>Word</v>
      </c>
      <c r="L162" s="7" t="s">
        <v>17</v>
      </c>
      <c r="M162" s="8" t="s">
        <v>214</v>
      </c>
      <c r="N162" s="8"/>
      <c r="O162" s="8"/>
    </row>
    <row r="163" spans="1:15">
      <c r="A163" t="s">
        <v>456</v>
      </c>
      <c r="D163" t="s">
        <v>440</v>
      </c>
      <c r="E163" t="s">
        <v>441</v>
      </c>
      <c r="F163" t="s">
        <v>457</v>
      </c>
      <c r="G163" t="str">
        <f>_xlfn.XLOOKUP(F163,'NPO Caseware'!G:G,'NPO Caseware'!H:H)</f>
        <v>PBC</v>
      </c>
      <c r="H163" t="str">
        <f>_xlfn.XLOOKUP(F163,'NPO Caseware'!G:G,'NPO Caseware'!I:I)</f>
        <v>PDF</v>
      </c>
      <c r="L163" s="7" t="s">
        <v>17</v>
      </c>
      <c r="M163" s="8" t="s">
        <v>458</v>
      </c>
      <c r="N163" s="8"/>
      <c r="O163" s="8"/>
    </row>
    <row r="164" spans="1:15">
      <c r="A164" t="s">
        <v>459</v>
      </c>
      <c r="D164" t="s">
        <v>440</v>
      </c>
      <c r="E164" t="s">
        <v>441</v>
      </c>
      <c r="F164" t="s">
        <v>460</v>
      </c>
      <c r="G164" t="str">
        <f>_xlfn.XLOOKUP(F164,'NPO Caseware'!G:G,'NPO Caseware'!H:H)</f>
        <v>PBC</v>
      </c>
      <c r="H164" t="str">
        <f>_xlfn.XLOOKUP(F164,'NPO Caseware'!G:G,'NPO Caseware'!I:I)</f>
        <v>PDF</v>
      </c>
      <c r="L164" s="7" t="s">
        <v>17</v>
      </c>
      <c r="M164" s="8" t="s">
        <v>458</v>
      </c>
      <c r="N164" s="8"/>
      <c r="O164" s="8"/>
    </row>
    <row r="165" spans="1:15">
      <c r="A165" t="s">
        <v>461</v>
      </c>
      <c r="D165" t="s">
        <v>440</v>
      </c>
      <c r="E165" t="s">
        <v>441</v>
      </c>
      <c r="F165" t="s">
        <v>462</v>
      </c>
      <c r="G165" t="str">
        <f>_xlfn.XLOOKUP(F165,'NPO Caseware'!G:G,'NPO Caseware'!H:H)</f>
        <v>PBC</v>
      </c>
      <c r="H165" t="str">
        <f>_xlfn.XLOOKUP(F165,'NPO Caseware'!G:G,'NPO Caseware'!I:I)</f>
        <v>PDF</v>
      </c>
      <c r="L165" s="7" t="s">
        <v>17</v>
      </c>
      <c r="M165" s="8" t="s">
        <v>458</v>
      </c>
      <c r="N165" s="8"/>
      <c r="O165" s="8"/>
    </row>
    <row r="166" spans="1:15">
      <c r="A166" t="s">
        <v>463</v>
      </c>
      <c r="D166" t="s">
        <v>440</v>
      </c>
      <c r="E166" t="s">
        <v>441</v>
      </c>
      <c r="F166" t="s">
        <v>464</v>
      </c>
      <c r="G166" t="str">
        <f>_xlfn.XLOOKUP(F166,'NPO Caseware'!G:G,'NPO Caseware'!H:H)</f>
        <v>PBC</v>
      </c>
      <c r="H166" t="str">
        <f>_xlfn.XLOOKUP(F166,'NPO Caseware'!G:G,'NPO Caseware'!I:I)</f>
        <v>PDF</v>
      </c>
      <c r="L166" s="7" t="s">
        <v>17</v>
      </c>
      <c r="M166" s="8" t="s">
        <v>458</v>
      </c>
      <c r="N166" s="8"/>
      <c r="O166" s="8"/>
    </row>
    <row r="167" spans="1:15">
      <c r="A167" t="s">
        <v>465</v>
      </c>
      <c r="D167" t="s">
        <v>466</v>
      </c>
      <c r="E167" t="s">
        <v>467</v>
      </c>
      <c r="F167" t="s">
        <v>468</v>
      </c>
      <c r="G167" t="s">
        <v>58</v>
      </c>
      <c r="H167" t="s">
        <v>201</v>
      </c>
      <c r="L167" s="7" t="s">
        <v>17</v>
      </c>
      <c r="M167" s="8" t="s">
        <v>443</v>
      </c>
      <c r="N167" s="8"/>
      <c r="O167" s="8"/>
    </row>
    <row r="168" spans="1:15">
      <c r="A168" t="s">
        <v>469</v>
      </c>
      <c r="D168" t="s">
        <v>466</v>
      </c>
      <c r="E168" t="s">
        <v>467</v>
      </c>
      <c r="F168" t="s">
        <v>470</v>
      </c>
      <c r="G168" t="s">
        <v>31</v>
      </c>
      <c r="H168" t="s">
        <v>32</v>
      </c>
      <c r="I168" t="s">
        <v>471</v>
      </c>
      <c r="L168" s="7" t="s">
        <v>17</v>
      </c>
      <c r="M168" s="8" t="s">
        <v>28</v>
      </c>
      <c r="N168" s="8"/>
      <c r="O168" s="8"/>
    </row>
    <row r="169" spans="1:15">
      <c r="A169" t="s">
        <v>472</v>
      </c>
      <c r="D169" t="s">
        <v>466</v>
      </c>
      <c r="E169" t="s">
        <v>467</v>
      </c>
      <c r="F169" t="s">
        <v>473</v>
      </c>
      <c r="G169" t="s">
        <v>31</v>
      </c>
      <c r="H169" t="s">
        <v>32</v>
      </c>
      <c r="I169" t="s">
        <v>474</v>
      </c>
      <c r="L169" s="7" t="s">
        <v>17</v>
      </c>
      <c r="M169" s="8" t="s">
        <v>28</v>
      </c>
      <c r="N169" s="8"/>
      <c r="O169" s="8"/>
    </row>
    <row r="170" spans="1:15">
      <c r="A170" t="s">
        <v>475</v>
      </c>
      <c r="D170" t="s">
        <v>466</v>
      </c>
      <c r="E170" t="s">
        <v>467</v>
      </c>
      <c r="F170" t="s">
        <v>476</v>
      </c>
      <c r="G170" t="str">
        <f>_xlfn.XLOOKUP(F170,'NPO Caseware'!G:G,'NPO Caseware'!H:H)</f>
        <v>HCLLP WP</v>
      </c>
      <c r="H170" t="str">
        <f>_xlfn.XLOOKUP(F170,'NPO Caseware'!G:G,'NPO Caseware'!I:I)</f>
        <v>Excel</v>
      </c>
      <c r="L170" s="7" t="s">
        <v>17</v>
      </c>
      <c r="M170" s="8" t="s">
        <v>449</v>
      </c>
      <c r="N170" s="8"/>
      <c r="O170" s="8"/>
    </row>
    <row r="171" spans="1:15">
      <c r="A171" t="s">
        <v>477</v>
      </c>
      <c r="D171" t="s">
        <v>466</v>
      </c>
      <c r="E171" t="s">
        <v>467</v>
      </c>
      <c r="F171" t="s">
        <v>478</v>
      </c>
      <c r="G171" t="str">
        <f>_xlfn.XLOOKUP(F171,'NPO Caseware'!G:G,'NPO Caseware'!H:H)</f>
        <v>PBC</v>
      </c>
      <c r="H171" t="str">
        <f>_xlfn.XLOOKUP(F171,'NPO Caseware'!G:G,'NPO Caseware'!I:I)</f>
        <v>Excel</v>
      </c>
      <c r="L171" s="7" t="s">
        <v>17</v>
      </c>
      <c r="M171" s="8" t="s">
        <v>479</v>
      </c>
      <c r="N171" s="8"/>
      <c r="O171" s="8"/>
    </row>
    <row r="172" spans="1:15">
      <c r="A172" t="s">
        <v>480</v>
      </c>
      <c r="D172" t="s">
        <v>466</v>
      </c>
      <c r="E172" t="s">
        <v>467</v>
      </c>
      <c r="F172" t="s">
        <v>481</v>
      </c>
      <c r="G172" t="str">
        <f>_xlfn.XLOOKUP(F172,'NPO Caseware'!G:G,'NPO Caseware'!H:H)</f>
        <v>HCLLP WP</v>
      </c>
      <c r="H172" t="str">
        <f>_xlfn.XLOOKUP(F172,'NPO Caseware'!G:G,'NPO Caseware'!I:I)</f>
        <v>Excel</v>
      </c>
      <c r="L172" s="7" t="s">
        <v>17</v>
      </c>
      <c r="M172" s="8" t="s">
        <v>407</v>
      </c>
      <c r="N172" s="8"/>
      <c r="O172" s="8"/>
    </row>
    <row r="173" spans="1:15">
      <c r="A173" t="s">
        <v>482</v>
      </c>
      <c r="D173" t="s">
        <v>466</v>
      </c>
      <c r="E173" t="s">
        <v>467</v>
      </c>
      <c r="F173" t="s">
        <v>483</v>
      </c>
      <c r="G173" t="str">
        <f>_xlfn.XLOOKUP(F173,'NPO Caseware'!G:G,'NPO Caseware'!H:H)</f>
        <v>PBC</v>
      </c>
      <c r="H173" t="str">
        <f>_xlfn.XLOOKUP(F173,'NPO Caseware'!G:G,'NPO Caseware'!I:I)</f>
        <v>PDF</v>
      </c>
      <c r="L173" s="7" t="s">
        <v>17</v>
      </c>
      <c r="M173" s="8" t="s">
        <v>214</v>
      </c>
      <c r="N173" s="8"/>
      <c r="O173" s="8"/>
    </row>
    <row r="174" spans="1:15">
      <c r="A174" t="s">
        <v>484</v>
      </c>
      <c r="D174" t="s">
        <v>466</v>
      </c>
      <c r="E174" t="s">
        <v>467</v>
      </c>
      <c r="F174" t="s">
        <v>485</v>
      </c>
      <c r="G174" t="str">
        <f>_xlfn.XLOOKUP(F174,'NPO Caseware'!G:G,'NPO Caseware'!H:H)</f>
        <v>HCLLP WP</v>
      </c>
      <c r="H174" t="str">
        <f>_xlfn.XLOOKUP(F174,'NPO Caseware'!G:G,'NPO Caseware'!I:I)</f>
        <v>Word</v>
      </c>
      <c r="L174" s="7" t="s">
        <v>17</v>
      </c>
      <c r="M174" s="8" t="s">
        <v>214</v>
      </c>
      <c r="N174" s="8"/>
      <c r="O174" s="8"/>
    </row>
    <row r="175" spans="1:15">
      <c r="A175" t="s">
        <v>486</v>
      </c>
      <c r="D175" t="s">
        <v>487</v>
      </c>
      <c r="E175" t="s">
        <v>488</v>
      </c>
      <c r="F175" t="s">
        <v>489</v>
      </c>
      <c r="G175" t="str">
        <f>_xlfn.XLOOKUP(F175,'NPO Caseware'!G:G,'NPO Caseware'!H:H)</f>
        <v>HCLLP WP</v>
      </c>
      <c r="H175" t="str">
        <f>_xlfn.XLOOKUP(F175,'NPO Caseware'!G:G,'NPO Caseware'!I:I)</f>
        <v>LeadSheet/Excel</v>
      </c>
      <c r="L175" s="7" t="s">
        <v>17</v>
      </c>
      <c r="M175" s="8" t="s">
        <v>443</v>
      </c>
      <c r="N175" s="8"/>
      <c r="O175" s="8"/>
    </row>
    <row r="176" spans="1:15">
      <c r="A176" t="s">
        <v>490</v>
      </c>
      <c r="D176" t="s">
        <v>487</v>
      </c>
      <c r="E176" t="s">
        <v>488</v>
      </c>
      <c r="F176" t="s">
        <v>491</v>
      </c>
      <c r="G176" t="s">
        <v>31</v>
      </c>
      <c r="H176" t="s">
        <v>32</v>
      </c>
      <c r="I176" t="s">
        <v>492</v>
      </c>
      <c r="L176" s="7" t="s">
        <v>17</v>
      </c>
      <c r="M176" s="8" t="s">
        <v>28</v>
      </c>
      <c r="N176" s="8"/>
      <c r="O176" s="8"/>
    </row>
    <row r="177" spans="1:15">
      <c r="A177" t="s">
        <v>493</v>
      </c>
      <c r="D177" t="s">
        <v>487</v>
      </c>
      <c r="E177" t="s">
        <v>488</v>
      </c>
      <c r="F177" t="s">
        <v>494</v>
      </c>
      <c r="G177" t="str">
        <f>_xlfn.XLOOKUP(F177,'NPO Caseware'!G:G,'NPO Caseware'!H:H)</f>
        <v>PBC</v>
      </c>
      <c r="H177" t="str">
        <f>_xlfn.XLOOKUP(F177,'NPO Caseware'!G:G,'NPO Caseware'!I:I)</f>
        <v>Excel</v>
      </c>
      <c r="L177" s="7" t="s">
        <v>17</v>
      </c>
      <c r="M177" s="8" t="s">
        <v>495</v>
      </c>
      <c r="N177" s="8"/>
      <c r="O177" s="8"/>
    </row>
    <row r="178" spans="1:15">
      <c r="A178" t="s">
        <v>496</v>
      </c>
      <c r="D178" t="s">
        <v>487</v>
      </c>
      <c r="E178" t="s">
        <v>488</v>
      </c>
      <c r="F178" t="s">
        <v>497</v>
      </c>
      <c r="G178" t="str">
        <f>_xlfn.XLOOKUP(F178,'NPO Caseware'!G:G,'NPO Caseware'!H:H)</f>
        <v>HCLLP WP</v>
      </c>
      <c r="H178" t="str">
        <f>_xlfn.XLOOKUP(F178,'NPO Caseware'!G:G,'NPO Caseware'!I:I)</f>
        <v>Excel</v>
      </c>
      <c r="L178" s="7" t="s">
        <v>17</v>
      </c>
      <c r="M178" s="8" t="s">
        <v>498</v>
      </c>
      <c r="N178" s="8"/>
      <c r="O178" s="8"/>
    </row>
    <row r="179" spans="1:15">
      <c r="A179" t="s">
        <v>499</v>
      </c>
      <c r="D179" t="s">
        <v>487</v>
      </c>
      <c r="E179" t="s">
        <v>488</v>
      </c>
      <c r="F179" t="s">
        <v>500</v>
      </c>
      <c r="G179" t="str">
        <f>_xlfn.XLOOKUP(F179,'NPO Caseware'!G:G,'NPO Caseware'!H:H)</f>
        <v>HCLLP WP</v>
      </c>
      <c r="H179" t="str">
        <f>_xlfn.XLOOKUP(F179,'NPO Caseware'!G:G,'NPO Caseware'!I:I)</f>
        <v>Word</v>
      </c>
      <c r="L179" s="12" t="s">
        <v>277</v>
      </c>
      <c r="M179" s="8" t="s">
        <v>501</v>
      </c>
      <c r="N179" s="8"/>
      <c r="O179" s="8"/>
    </row>
    <row r="180" spans="1:15">
      <c r="A180" t="s">
        <v>502</v>
      </c>
      <c r="D180" t="s">
        <v>487</v>
      </c>
      <c r="E180" t="s">
        <v>488</v>
      </c>
      <c r="F180" t="s">
        <v>503</v>
      </c>
      <c r="G180" t="str">
        <f>_xlfn.XLOOKUP(F180,'NPO Caseware'!G:G,'NPO Caseware'!H:H)</f>
        <v>PBC</v>
      </c>
      <c r="H180" t="str">
        <f>_xlfn.XLOOKUP(F180,'NPO Caseware'!G:G,'NPO Caseware'!I:I)</f>
        <v>Word</v>
      </c>
      <c r="L180" s="7" t="s">
        <v>17</v>
      </c>
      <c r="M180" s="8" t="s">
        <v>504</v>
      </c>
      <c r="N180" s="8"/>
      <c r="O180" s="8"/>
    </row>
    <row r="181" spans="1:15" ht="15" customHeight="1">
      <c r="A181" s="13" t="s">
        <v>505</v>
      </c>
      <c r="B181" s="13"/>
      <c r="C181" s="13"/>
      <c r="D181" s="13" t="s">
        <v>506</v>
      </c>
      <c r="E181" s="13" t="s">
        <v>507</v>
      </c>
      <c r="F181" s="13" t="s">
        <v>508</v>
      </c>
      <c r="G181" t="str">
        <f>_xlfn.XLOOKUP(F181,'NPO Caseware'!G:G,'NPO Caseware'!H:H)</f>
        <v>HCLLP WP</v>
      </c>
      <c r="H181" t="str">
        <f>_xlfn.XLOOKUP(F181,'NPO Caseware'!G:G,'NPO Caseware'!I:I)</f>
        <v>LeadSheet/Excel</v>
      </c>
      <c r="L181" s="7" t="s">
        <v>17</v>
      </c>
      <c r="M181" s="8" t="s">
        <v>443</v>
      </c>
      <c r="N181" s="8"/>
      <c r="O181" s="8"/>
    </row>
    <row r="182" spans="1:15">
      <c r="A182" t="s">
        <v>509</v>
      </c>
      <c r="D182" t="s">
        <v>506</v>
      </c>
      <c r="E182" t="s">
        <v>507</v>
      </c>
      <c r="F182" t="s">
        <v>510</v>
      </c>
      <c r="G182" t="str">
        <f>_xlfn.XLOOKUP(F182,'NPO Caseware'!G:G,'NPO Caseware'!H:H)</f>
        <v>PPC</v>
      </c>
      <c r="H182" t="str">
        <f>_xlfn.XLOOKUP(F182,'NPO Caseware'!G:G,'NPO Caseware'!I:I)</f>
        <v>Word</v>
      </c>
      <c r="I182" t="s">
        <v>511</v>
      </c>
      <c r="L182" s="7" t="s">
        <v>17</v>
      </c>
      <c r="M182" s="8" t="s">
        <v>28</v>
      </c>
      <c r="N182" s="8"/>
      <c r="O182" s="8"/>
    </row>
    <row r="183" spans="1:15">
      <c r="A183" t="s">
        <v>512</v>
      </c>
      <c r="D183" t="s">
        <v>506</v>
      </c>
      <c r="E183" t="s">
        <v>507</v>
      </c>
      <c r="F183" t="s">
        <v>513</v>
      </c>
      <c r="G183" t="str">
        <f>_xlfn.XLOOKUP(F183,'NPO Caseware'!G:G,'NPO Caseware'!H:H)</f>
        <v>HCLLP WP</v>
      </c>
      <c r="H183" t="str">
        <f>_xlfn.XLOOKUP(F183,'NPO Caseware'!G:G,'NPO Caseware'!I:I)</f>
        <v>Excel</v>
      </c>
      <c r="L183" s="7" t="s">
        <v>17</v>
      </c>
      <c r="M183" s="8" t="s">
        <v>407</v>
      </c>
      <c r="N183" s="8"/>
      <c r="O183" s="8"/>
    </row>
    <row r="184" spans="1:15">
      <c r="A184" t="s">
        <v>514</v>
      </c>
      <c r="D184" t="s">
        <v>506</v>
      </c>
      <c r="E184" t="s">
        <v>507</v>
      </c>
      <c r="F184" t="s">
        <v>515</v>
      </c>
      <c r="G184" t="str">
        <f>_xlfn.XLOOKUP(F184,'NPO Caseware'!G:G,'NPO Caseware'!H:H)</f>
        <v>PBC</v>
      </c>
      <c r="H184" t="str">
        <f>_xlfn.XLOOKUP(F184,'NPO Caseware'!G:G,'NPO Caseware'!I:I)</f>
        <v>Excel</v>
      </c>
      <c r="L184" s="7" t="s">
        <v>17</v>
      </c>
      <c r="M184" s="8" t="s">
        <v>516</v>
      </c>
      <c r="N184" s="8"/>
      <c r="O184" s="8"/>
    </row>
    <row r="185" spans="1:15">
      <c r="A185" t="s">
        <v>517</v>
      </c>
      <c r="D185" t="s">
        <v>506</v>
      </c>
      <c r="E185" t="s">
        <v>507</v>
      </c>
      <c r="F185" t="s">
        <v>518</v>
      </c>
      <c r="G185" t="str">
        <f>_xlfn.XLOOKUP(F185,'NPO Caseware'!G:G,'NPO Caseware'!H:H)</f>
        <v>PBC</v>
      </c>
      <c r="H185" t="str">
        <f>_xlfn.XLOOKUP(F185,'NPO Caseware'!G:G,'NPO Caseware'!I:I)</f>
        <v>Excel</v>
      </c>
      <c r="L185" s="7" t="s">
        <v>17</v>
      </c>
      <c r="M185" s="8" t="s">
        <v>516</v>
      </c>
      <c r="N185" s="8"/>
      <c r="O185" s="8"/>
    </row>
    <row r="186" spans="1:15">
      <c r="A186" t="s">
        <v>519</v>
      </c>
      <c r="D186" t="s">
        <v>520</v>
      </c>
      <c r="E186" t="s">
        <v>521</v>
      </c>
      <c r="F186" t="s">
        <v>522</v>
      </c>
      <c r="G186" t="str">
        <f>_xlfn.XLOOKUP(F186,'NPO Caseware'!G:G,'NPO Caseware'!H:H)</f>
        <v>HCLLP WP</v>
      </c>
      <c r="H186" t="str">
        <f>_xlfn.XLOOKUP(F186,'NPO Caseware'!G:G,'NPO Caseware'!I:I)</f>
        <v>LeadSheet/Excel</v>
      </c>
      <c r="L186" s="7" t="s">
        <v>17</v>
      </c>
      <c r="M186" s="8" t="s">
        <v>443</v>
      </c>
      <c r="N186" s="8"/>
      <c r="O186" s="8"/>
    </row>
    <row r="187" spans="1:15">
      <c r="A187" t="s">
        <v>523</v>
      </c>
      <c r="D187" t="s">
        <v>520</v>
      </c>
      <c r="E187" t="s">
        <v>521</v>
      </c>
      <c r="F187" t="s">
        <v>524</v>
      </c>
      <c r="G187" t="str">
        <f>_xlfn.XLOOKUP(F187,'NPO Caseware'!G:G,'NPO Caseware'!H:H)</f>
        <v>PPC</v>
      </c>
      <c r="H187" t="str">
        <f>_xlfn.XLOOKUP(F187,'NPO Caseware'!G:G,'NPO Caseware'!I:I)</f>
        <v>Word</v>
      </c>
      <c r="I187" t="s">
        <v>525</v>
      </c>
      <c r="L187" s="7" t="s">
        <v>17</v>
      </c>
      <c r="M187" s="8" t="s">
        <v>28</v>
      </c>
      <c r="N187" s="8"/>
      <c r="O187" s="8"/>
    </row>
    <row r="188" spans="1:15">
      <c r="A188" t="s">
        <v>526</v>
      </c>
      <c r="D188" t="s">
        <v>520</v>
      </c>
      <c r="E188" t="s">
        <v>521</v>
      </c>
      <c r="F188" t="s">
        <v>527</v>
      </c>
      <c r="G188" t="str">
        <f>_xlfn.XLOOKUP(F188,'NPO Caseware'!G:G,'NPO Caseware'!H:H)</f>
        <v>HCLLP WP</v>
      </c>
      <c r="H188" t="str">
        <f>_xlfn.XLOOKUP(F188,'NPO Caseware'!G:G,'NPO Caseware'!I:I)</f>
        <v>Excel</v>
      </c>
      <c r="L188" s="7" t="s">
        <v>17</v>
      </c>
      <c r="M188" s="8" t="s">
        <v>449</v>
      </c>
      <c r="N188" s="8"/>
      <c r="O188" s="8"/>
    </row>
    <row r="189" spans="1:15">
      <c r="A189" t="s">
        <v>528</v>
      </c>
      <c r="D189" t="s">
        <v>520</v>
      </c>
      <c r="E189" t="s">
        <v>521</v>
      </c>
      <c r="F189" t="s">
        <v>529</v>
      </c>
      <c r="G189" t="str">
        <f>_xlfn.XLOOKUP(F189,'NPO Caseware'!G:G,'NPO Caseware'!H:H)</f>
        <v>HCLLP WP</v>
      </c>
      <c r="H189" t="str">
        <f>_xlfn.XLOOKUP(F189,'NPO Caseware'!G:G,'NPO Caseware'!I:I)</f>
        <v>Excel</v>
      </c>
      <c r="L189" s="7" t="s">
        <v>17</v>
      </c>
      <c r="M189" s="8" t="s">
        <v>530</v>
      </c>
      <c r="N189" s="8"/>
      <c r="O189" s="8"/>
    </row>
    <row r="190" spans="1:15">
      <c r="A190" t="s">
        <v>531</v>
      </c>
      <c r="D190" t="s">
        <v>520</v>
      </c>
      <c r="E190" t="s">
        <v>521</v>
      </c>
      <c r="F190" t="s">
        <v>532</v>
      </c>
      <c r="G190" t="str">
        <f>_xlfn.XLOOKUP(F190,'NPO Caseware'!G:G,'NPO Caseware'!H:H)</f>
        <v>PBC</v>
      </c>
      <c r="H190" t="str">
        <f>_xlfn.XLOOKUP(F190,'NPO Caseware'!G:G,'NPO Caseware'!I:I)</f>
        <v>PDF</v>
      </c>
      <c r="L190" s="7" t="s">
        <v>17</v>
      </c>
      <c r="M190" s="8" t="s">
        <v>214</v>
      </c>
      <c r="N190" s="8"/>
      <c r="O190" s="8"/>
    </row>
    <row r="191" spans="1:15">
      <c r="A191" t="s">
        <v>533</v>
      </c>
      <c r="D191" t="s">
        <v>520</v>
      </c>
      <c r="E191" t="s">
        <v>521</v>
      </c>
      <c r="F191" t="s">
        <v>534</v>
      </c>
      <c r="G191" t="s">
        <v>82</v>
      </c>
      <c r="H191" t="s">
        <v>83</v>
      </c>
      <c r="L191" s="7" t="s">
        <v>17</v>
      </c>
      <c r="M191" s="8" t="s">
        <v>458</v>
      </c>
      <c r="N191" s="8"/>
      <c r="O191" s="8"/>
    </row>
    <row r="192" spans="1:15">
      <c r="A192" t="s">
        <v>535</v>
      </c>
      <c r="D192" t="s">
        <v>520</v>
      </c>
      <c r="E192" t="s">
        <v>521</v>
      </c>
      <c r="F192" t="s">
        <v>536</v>
      </c>
      <c r="G192" t="str">
        <f>_xlfn.XLOOKUP(F192,'NPO Caseware'!G:G,'NPO Caseware'!H:H)</f>
        <v>PBC</v>
      </c>
      <c r="H192" t="str">
        <f>_xlfn.XLOOKUP(F192,'NPO Caseware'!G:G,'NPO Caseware'!I:I)</f>
        <v>PDF</v>
      </c>
      <c r="L192" s="7" t="s">
        <v>17</v>
      </c>
      <c r="M192" s="8" t="s">
        <v>458</v>
      </c>
      <c r="N192" s="8"/>
      <c r="O192" s="8"/>
    </row>
    <row r="193" spans="1:15">
      <c r="A193" t="s">
        <v>537</v>
      </c>
      <c r="D193" t="s">
        <v>538</v>
      </c>
      <c r="E193" t="s">
        <v>539</v>
      </c>
      <c r="F193" t="s">
        <v>540</v>
      </c>
      <c r="G193" t="s">
        <v>58</v>
      </c>
      <c r="H193" t="s">
        <v>201</v>
      </c>
      <c r="L193" s="7" t="s">
        <v>17</v>
      </c>
      <c r="M193" s="8" t="s">
        <v>443</v>
      </c>
      <c r="N193" s="8"/>
      <c r="O193" s="8"/>
    </row>
    <row r="194" spans="1:15">
      <c r="A194" t="s">
        <v>541</v>
      </c>
      <c r="D194" t="s">
        <v>538</v>
      </c>
      <c r="E194" t="s">
        <v>539</v>
      </c>
      <c r="F194" t="s">
        <v>542</v>
      </c>
      <c r="G194" t="s">
        <v>58</v>
      </c>
      <c r="H194" t="s">
        <v>201</v>
      </c>
      <c r="L194" s="7" t="s">
        <v>17</v>
      </c>
      <c r="M194" s="8" t="s">
        <v>443</v>
      </c>
      <c r="N194" s="8"/>
      <c r="O194" s="8"/>
    </row>
    <row r="195" spans="1:15">
      <c r="A195" t="s">
        <v>543</v>
      </c>
      <c r="D195" t="s">
        <v>538</v>
      </c>
      <c r="E195" t="s">
        <v>539</v>
      </c>
      <c r="F195" t="s">
        <v>544</v>
      </c>
      <c r="G195" t="s">
        <v>31</v>
      </c>
      <c r="H195" t="s">
        <v>32</v>
      </c>
      <c r="I195" t="s">
        <v>545</v>
      </c>
      <c r="L195" s="7" t="s">
        <v>17</v>
      </c>
      <c r="M195" s="8" t="s">
        <v>28</v>
      </c>
      <c r="N195" s="8"/>
      <c r="O195" s="8"/>
    </row>
    <row r="196" spans="1:15">
      <c r="A196" t="s">
        <v>546</v>
      </c>
      <c r="D196" t="s">
        <v>538</v>
      </c>
      <c r="E196" t="s">
        <v>539</v>
      </c>
      <c r="F196" t="s">
        <v>547</v>
      </c>
      <c r="G196" t="s">
        <v>58</v>
      </c>
      <c r="H196" t="s">
        <v>59</v>
      </c>
      <c r="L196" s="7" t="s">
        <v>17</v>
      </c>
      <c r="M196" s="8" t="s">
        <v>449</v>
      </c>
      <c r="N196" s="8"/>
      <c r="O196" s="8"/>
    </row>
    <row r="197" spans="1:15">
      <c r="A197" t="s">
        <v>548</v>
      </c>
      <c r="D197" t="s">
        <v>538</v>
      </c>
      <c r="E197" t="s">
        <v>539</v>
      </c>
      <c r="F197" t="s">
        <v>549</v>
      </c>
      <c r="G197" t="s">
        <v>58</v>
      </c>
      <c r="H197" t="s">
        <v>59</v>
      </c>
      <c r="L197" s="7" t="s">
        <v>17</v>
      </c>
      <c r="M197" s="8" t="s">
        <v>530</v>
      </c>
      <c r="N197" s="8"/>
      <c r="O197" s="8"/>
    </row>
    <row r="198" spans="1:15">
      <c r="A198" t="s">
        <v>550</v>
      </c>
      <c r="D198" t="s">
        <v>538</v>
      </c>
      <c r="E198" t="s">
        <v>539</v>
      </c>
      <c r="F198" t="s">
        <v>551</v>
      </c>
      <c r="G198" t="s">
        <v>82</v>
      </c>
      <c r="H198" t="s">
        <v>59</v>
      </c>
      <c r="L198" s="7" t="s">
        <v>17</v>
      </c>
      <c r="M198" s="8" t="s">
        <v>210</v>
      </c>
      <c r="N198" s="8"/>
      <c r="O198" s="8"/>
    </row>
    <row r="199" spans="1:15">
      <c r="A199" t="s">
        <v>552</v>
      </c>
      <c r="D199" t="s">
        <v>538</v>
      </c>
      <c r="E199" t="s">
        <v>539</v>
      </c>
      <c r="F199" t="s">
        <v>553</v>
      </c>
      <c r="G199" t="s">
        <v>58</v>
      </c>
      <c r="H199" t="s">
        <v>59</v>
      </c>
      <c r="L199" s="7" t="s">
        <v>17</v>
      </c>
      <c r="M199" s="8" t="s">
        <v>407</v>
      </c>
      <c r="N199" s="8"/>
      <c r="O199" s="8"/>
    </row>
    <row r="200" spans="1:15">
      <c r="A200" t="s">
        <v>554</v>
      </c>
      <c r="D200" t="s">
        <v>538</v>
      </c>
      <c r="E200" t="s">
        <v>539</v>
      </c>
      <c r="F200" t="s">
        <v>555</v>
      </c>
      <c r="G200" t="str">
        <f>_xlfn.XLOOKUP(F200,'NPO Caseware'!G:G,'NPO Caseware'!H:H)</f>
        <v>PPC</v>
      </c>
      <c r="H200" t="str">
        <f>_xlfn.XLOOKUP(F200,'NPO Caseware'!G:G,'NPO Caseware'!I:I)</f>
        <v>Word</v>
      </c>
      <c r="I200" t="s">
        <v>556</v>
      </c>
      <c r="L200" s="7" t="s">
        <v>17</v>
      </c>
      <c r="M200" s="8" t="s">
        <v>60</v>
      </c>
      <c r="N200" s="8"/>
      <c r="O200" s="8"/>
    </row>
    <row r="201" spans="1:15">
      <c r="A201" t="s">
        <v>557</v>
      </c>
      <c r="D201" t="s">
        <v>538</v>
      </c>
      <c r="E201" t="s">
        <v>539</v>
      </c>
      <c r="F201" t="s">
        <v>558</v>
      </c>
      <c r="G201" t="str">
        <f>_xlfn.XLOOKUP(F201,'NPO Caseware'!G:G,'NPO Caseware'!H:H)</f>
        <v>PPC</v>
      </c>
      <c r="H201" t="str">
        <f>_xlfn.XLOOKUP(F201,'NPO Caseware'!G:G,'NPO Caseware'!I:I)</f>
        <v>Word</v>
      </c>
      <c r="I201" t="s">
        <v>559</v>
      </c>
      <c r="L201" s="7" t="s">
        <v>17</v>
      </c>
      <c r="M201" s="8" t="s">
        <v>438</v>
      </c>
      <c r="N201" s="8"/>
      <c r="O201" s="8"/>
    </row>
    <row r="202" spans="1:15">
      <c r="A202" t="s">
        <v>560</v>
      </c>
      <c r="D202" t="s">
        <v>538</v>
      </c>
      <c r="E202" t="s">
        <v>539</v>
      </c>
      <c r="F202" t="s">
        <v>561</v>
      </c>
      <c r="G202" t="s">
        <v>58</v>
      </c>
      <c r="H202" t="s">
        <v>59</v>
      </c>
      <c r="L202" s="7" t="s">
        <v>17</v>
      </c>
      <c r="M202" s="8" t="s">
        <v>407</v>
      </c>
      <c r="N202" s="8"/>
      <c r="O202" s="8"/>
    </row>
    <row r="203" spans="1:15">
      <c r="A203" t="s">
        <v>562</v>
      </c>
      <c r="D203" t="s">
        <v>538</v>
      </c>
      <c r="E203" t="s">
        <v>539</v>
      </c>
      <c r="F203" t="s">
        <v>563</v>
      </c>
      <c r="G203" t="s">
        <v>58</v>
      </c>
      <c r="H203" t="s">
        <v>59</v>
      </c>
      <c r="L203" s="7" t="s">
        <v>17</v>
      </c>
      <c r="M203" s="8" t="s">
        <v>407</v>
      </c>
      <c r="N203" s="8"/>
      <c r="O203" s="8"/>
    </row>
    <row r="204" spans="1:15">
      <c r="A204" t="s">
        <v>564</v>
      </c>
      <c r="D204" t="s">
        <v>538</v>
      </c>
      <c r="E204" t="s">
        <v>539</v>
      </c>
      <c r="F204" t="s">
        <v>565</v>
      </c>
      <c r="G204" t="s">
        <v>58</v>
      </c>
      <c r="H204" t="s">
        <v>59</v>
      </c>
      <c r="L204" s="10" t="s">
        <v>183</v>
      </c>
      <c r="M204" s="8" t="s">
        <v>566</v>
      </c>
      <c r="N204" s="8"/>
      <c r="O204" s="8"/>
    </row>
    <row r="205" spans="1:15">
      <c r="A205" t="s">
        <v>567</v>
      </c>
      <c r="D205" t="s">
        <v>538</v>
      </c>
      <c r="E205" t="s">
        <v>539</v>
      </c>
      <c r="F205" t="s">
        <v>568</v>
      </c>
      <c r="G205" t="s">
        <v>58</v>
      </c>
      <c r="H205" t="s">
        <v>59</v>
      </c>
      <c r="L205" s="10" t="s">
        <v>183</v>
      </c>
      <c r="M205" s="8" t="s">
        <v>566</v>
      </c>
      <c r="N205" s="8"/>
      <c r="O205" s="8"/>
    </row>
    <row r="206" spans="1:15">
      <c r="A206" t="s">
        <v>569</v>
      </c>
      <c r="D206" t="s">
        <v>538</v>
      </c>
      <c r="E206" t="s">
        <v>539</v>
      </c>
      <c r="F206" t="s">
        <v>570</v>
      </c>
      <c r="G206" t="str">
        <f>_xlfn.XLOOKUP(F206,'NPO Caseware'!G:G,'NPO Caseware'!H:H)</f>
        <v>PBC</v>
      </c>
      <c r="H206" t="str">
        <f>_xlfn.XLOOKUP(F206,'NPO Caseware'!G:G,'NPO Caseware'!I:I)</f>
        <v>Excel</v>
      </c>
      <c r="L206" s="7" t="s">
        <v>17</v>
      </c>
      <c r="M206" s="8" t="s">
        <v>210</v>
      </c>
      <c r="N206" s="8"/>
      <c r="O206" s="8"/>
    </row>
    <row r="207" spans="1:15">
      <c r="A207" t="s">
        <v>571</v>
      </c>
      <c r="D207" t="s">
        <v>538</v>
      </c>
      <c r="E207" t="s">
        <v>539</v>
      </c>
      <c r="F207" t="s">
        <v>572</v>
      </c>
      <c r="G207" t="str">
        <f>_xlfn.XLOOKUP(F207,'NPO Caseware'!G:G,'NPO Caseware'!H:H)</f>
        <v>PBC</v>
      </c>
      <c r="H207" t="str">
        <f>_xlfn.XLOOKUP(F207,'NPO Caseware'!G:G,'NPO Caseware'!I:I)</f>
        <v>PDF</v>
      </c>
      <c r="L207" s="7" t="s">
        <v>17</v>
      </c>
      <c r="M207" s="8" t="s">
        <v>573</v>
      </c>
      <c r="N207" s="8"/>
      <c r="O207" s="8"/>
    </row>
    <row r="208" spans="1:15">
      <c r="A208" t="s">
        <v>574</v>
      </c>
      <c r="D208" t="s">
        <v>538</v>
      </c>
      <c r="E208" t="s">
        <v>539</v>
      </c>
      <c r="F208" t="s">
        <v>575</v>
      </c>
      <c r="G208" t="str">
        <f>_xlfn.XLOOKUP(F208,'NPO Caseware'!G:G,'NPO Caseware'!H:H)</f>
        <v>PBC</v>
      </c>
      <c r="H208" t="str">
        <f>_xlfn.XLOOKUP(F208,'NPO Caseware'!G:G,'NPO Caseware'!I:I)</f>
        <v>PDF</v>
      </c>
      <c r="L208" s="7" t="s">
        <v>17</v>
      </c>
      <c r="M208" s="8" t="s">
        <v>573</v>
      </c>
      <c r="N208" s="8"/>
      <c r="O208" s="8"/>
    </row>
    <row r="209" spans="1:15">
      <c r="A209" t="s">
        <v>576</v>
      </c>
      <c r="D209" t="s">
        <v>538</v>
      </c>
      <c r="E209" t="s">
        <v>539</v>
      </c>
      <c r="F209" t="s">
        <v>577</v>
      </c>
      <c r="G209" t="s">
        <v>58</v>
      </c>
      <c r="H209" t="s">
        <v>59</v>
      </c>
      <c r="L209" s="10" t="s">
        <v>183</v>
      </c>
      <c r="M209" s="8" t="s">
        <v>578</v>
      </c>
      <c r="N209" s="8"/>
      <c r="O209" s="8"/>
    </row>
    <row r="210" spans="1:15">
      <c r="A210" t="s">
        <v>579</v>
      </c>
      <c r="D210" t="s">
        <v>538</v>
      </c>
      <c r="E210" t="s">
        <v>539</v>
      </c>
      <c r="F210" t="s">
        <v>580</v>
      </c>
      <c r="G210" t="s">
        <v>58</v>
      </c>
      <c r="H210" t="s">
        <v>59</v>
      </c>
      <c r="L210" s="10" t="s">
        <v>183</v>
      </c>
      <c r="M210" s="8" t="s">
        <v>578</v>
      </c>
      <c r="N210" s="8"/>
      <c r="O210" s="8"/>
    </row>
    <row r="211" spans="1:15">
      <c r="A211" t="s">
        <v>581</v>
      </c>
      <c r="D211" t="s">
        <v>538</v>
      </c>
      <c r="E211" t="s">
        <v>539</v>
      </c>
      <c r="F211" t="s">
        <v>582</v>
      </c>
      <c r="G211" t="s">
        <v>82</v>
      </c>
      <c r="H211" t="s">
        <v>59</v>
      </c>
      <c r="L211" s="10" t="s">
        <v>183</v>
      </c>
      <c r="M211" s="8" t="s">
        <v>578</v>
      </c>
      <c r="N211" s="8"/>
      <c r="O211" s="8"/>
    </row>
    <row r="212" spans="1:15">
      <c r="A212" t="s">
        <v>583</v>
      </c>
      <c r="D212" t="s">
        <v>538</v>
      </c>
      <c r="E212" t="s">
        <v>539</v>
      </c>
      <c r="F212" t="s">
        <v>584</v>
      </c>
      <c r="G212" t="s">
        <v>82</v>
      </c>
      <c r="H212" t="s">
        <v>83</v>
      </c>
      <c r="L212" s="7" t="s">
        <v>17</v>
      </c>
      <c r="M212" s="8" t="s">
        <v>573</v>
      </c>
      <c r="N212" s="8"/>
      <c r="O212" s="8"/>
    </row>
    <row r="213" spans="1:15">
      <c r="A213" t="s">
        <v>585</v>
      </c>
      <c r="D213" t="s">
        <v>538</v>
      </c>
      <c r="E213" t="s">
        <v>539</v>
      </c>
      <c r="F213" t="s">
        <v>586</v>
      </c>
      <c r="G213" t="s">
        <v>82</v>
      </c>
      <c r="H213" t="s">
        <v>83</v>
      </c>
      <c r="L213" s="7" t="s">
        <v>17</v>
      </c>
      <c r="M213" s="8" t="s">
        <v>573</v>
      </c>
      <c r="N213" s="8"/>
      <c r="O213" s="8"/>
    </row>
    <row r="214" spans="1:15">
      <c r="A214" t="s">
        <v>587</v>
      </c>
      <c r="D214" t="s">
        <v>538</v>
      </c>
      <c r="E214" t="s">
        <v>539</v>
      </c>
      <c r="F214" t="s">
        <v>588</v>
      </c>
      <c r="G214" t="s">
        <v>58</v>
      </c>
      <c r="H214" t="s">
        <v>59</v>
      </c>
      <c r="L214" s="10" t="s">
        <v>183</v>
      </c>
      <c r="M214" s="8" t="s">
        <v>566</v>
      </c>
      <c r="N214" s="8"/>
      <c r="O214" s="8"/>
    </row>
    <row r="215" spans="1:15">
      <c r="A215" t="s">
        <v>589</v>
      </c>
      <c r="D215" t="s">
        <v>590</v>
      </c>
      <c r="E215" t="s">
        <v>591</v>
      </c>
      <c r="F215" t="s">
        <v>592</v>
      </c>
      <c r="G215" t="s">
        <v>58</v>
      </c>
      <c r="H215" t="s">
        <v>201</v>
      </c>
      <c r="L215" s="7" t="s">
        <v>17</v>
      </c>
      <c r="M215" s="8" t="s">
        <v>443</v>
      </c>
      <c r="N215" s="8"/>
      <c r="O215" s="8"/>
    </row>
    <row r="216" spans="1:15">
      <c r="A216" t="s">
        <v>593</v>
      </c>
      <c r="D216" t="s">
        <v>594</v>
      </c>
      <c r="E216" t="s">
        <v>595</v>
      </c>
      <c r="F216" t="s">
        <v>596</v>
      </c>
      <c r="G216" t="s">
        <v>58</v>
      </c>
      <c r="H216" t="s">
        <v>201</v>
      </c>
      <c r="L216" s="7" t="s">
        <v>17</v>
      </c>
      <c r="M216" s="8" t="s">
        <v>443</v>
      </c>
      <c r="N216" s="8"/>
      <c r="O216" s="8"/>
    </row>
    <row r="217" spans="1:15">
      <c r="A217" t="s">
        <v>597</v>
      </c>
      <c r="D217" t="s">
        <v>594</v>
      </c>
      <c r="E217" t="s">
        <v>595</v>
      </c>
      <c r="F217" t="s">
        <v>598</v>
      </c>
      <c r="G217" t="s">
        <v>58</v>
      </c>
      <c r="H217" t="s">
        <v>201</v>
      </c>
      <c r="L217" s="7" t="s">
        <v>17</v>
      </c>
      <c r="M217" s="8" t="s">
        <v>443</v>
      </c>
      <c r="N217" s="8"/>
      <c r="O217" s="8"/>
    </row>
    <row r="218" spans="1:15">
      <c r="A218" t="s">
        <v>599</v>
      </c>
      <c r="D218" t="s">
        <v>594</v>
      </c>
      <c r="E218" t="s">
        <v>595</v>
      </c>
      <c r="F218" t="s">
        <v>600</v>
      </c>
      <c r="G218" t="s">
        <v>58</v>
      </c>
      <c r="H218" t="s">
        <v>201</v>
      </c>
      <c r="L218" s="7" t="s">
        <v>17</v>
      </c>
      <c r="M218" s="8" t="s">
        <v>443</v>
      </c>
      <c r="N218" s="8"/>
      <c r="O218" s="8"/>
    </row>
    <row r="219" spans="1:15">
      <c r="A219" t="s">
        <v>601</v>
      </c>
      <c r="D219" t="s">
        <v>594</v>
      </c>
      <c r="E219" t="s">
        <v>595</v>
      </c>
      <c r="F219" t="s">
        <v>602</v>
      </c>
      <c r="G219" t="s">
        <v>31</v>
      </c>
      <c r="H219" t="s">
        <v>32</v>
      </c>
      <c r="I219" t="s">
        <v>603</v>
      </c>
      <c r="L219" s="7" t="s">
        <v>17</v>
      </c>
      <c r="M219" s="8" t="s">
        <v>28</v>
      </c>
      <c r="N219" s="8"/>
      <c r="O219" s="8"/>
    </row>
    <row r="220" spans="1:15">
      <c r="A220" t="s">
        <v>604</v>
      </c>
      <c r="D220" t="s">
        <v>594</v>
      </c>
      <c r="E220" t="s">
        <v>595</v>
      </c>
      <c r="F220" t="s">
        <v>605</v>
      </c>
      <c r="G220" t="s">
        <v>58</v>
      </c>
      <c r="H220" t="s">
        <v>59</v>
      </c>
      <c r="L220" s="7" t="s">
        <v>17</v>
      </c>
      <c r="M220" s="8" t="s">
        <v>449</v>
      </c>
      <c r="N220" s="8"/>
      <c r="O220" s="8"/>
    </row>
    <row r="221" spans="1:15">
      <c r="A221" t="s">
        <v>606</v>
      </c>
      <c r="D221" t="s">
        <v>594</v>
      </c>
      <c r="E221" t="s">
        <v>595</v>
      </c>
      <c r="F221" t="s">
        <v>607</v>
      </c>
      <c r="G221" t="str">
        <f>_xlfn.XLOOKUP(F221,'NPO Caseware'!G:G,'NPO Caseware'!H:H)</f>
        <v>HCLLP WP</v>
      </c>
      <c r="H221" t="str">
        <f>_xlfn.XLOOKUP(F221,'NPO Caseware'!G:G,'NPO Caseware'!I:I)</f>
        <v>Excel</v>
      </c>
      <c r="L221" s="7" t="s">
        <v>17</v>
      </c>
      <c r="M221" s="8" t="s">
        <v>530</v>
      </c>
      <c r="N221" s="8"/>
      <c r="O221" s="8"/>
    </row>
    <row r="222" spans="1:15">
      <c r="A222" t="s">
        <v>608</v>
      </c>
      <c r="D222" t="s">
        <v>594</v>
      </c>
      <c r="E222" t="s">
        <v>595</v>
      </c>
      <c r="F222" t="s">
        <v>609</v>
      </c>
      <c r="G222" t="s">
        <v>58</v>
      </c>
      <c r="H222" t="s">
        <v>59</v>
      </c>
      <c r="L222" s="7" t="s">
        <v>17</v>
      </c>
      <c r="M222" s="8" t="s">
        <v>498</v>
      </c>
      <c r="N222" s="8"/>
      <c r="O222" s="8"/>
    </row>
    <row r="223" spans="1:15">
      <c r="A223" t="s">
        <v>610</v>
      </c>
      <c r="D223" t="s">
        <v>594</v>
      </c>
      <c r="E223" t="s">
        <v>595</v>
      </c>
      <c r="F223" t="s">
        <v>611</v>
      </c>
      <c r="G223" t="str">
        <f>_xlfn.XLOOKUP(F223,'NPO Caseware'!G:G,'NPO Caseware'!H:H)</f>
        <v>PBC</v>
      </c>
      <c r="H223" t="str">
        <f>_xlfn.XLOOKUP(F223,'NPO Caseware'!G:G,'NPO Caseware'!I:I)</f>
        <v>PDF</v>
      </c>
      <c r="L223" s="7" t="s">
        <v>17</v>
      </c>
      <c r="M223" s="8" t="s">
        <v>214</v>
      </c>
      <c r="N223" s="8"/>
      <c r="O223" s="8"/>
    </row>
    <row r="224" spans="1:15">
      <c r="A224" t="s">
        <v>612</v>
      </c>
      <c r="D224" t="s">
        <v>594</v>
      </c>
      <c r="E224" t="s">
        <v>595</v>
      </c>
      <c r="F224" t="s">
        <v>613</v>
      </c>
      <c r="G224" t="str">
        <f>_xlfn.XLOOKUP(F224,'NPO Caseware'!G:G,'NPO Caseware'!H:H)</f>
        <v>PBC</v>
      </c>
      <c r="H224" t="str">
        <f>_xlfn.XLOOKUP(F224,'NPO Caseware'!G:G,'NPO Caseware'!I:I)</f>
        <v>PDF</v>
      </c>
      <c r="L224" s="7" t="s">
        <v>17</v>
      </c>
      <c r="M224" s="8" t="s">
        <v>214</v>
      </c>
      <c r="N224" s="8"/>
      <c r="O224" s="8"/>
    </row>
    <row r="225" spans="1:15">
      <c r="A225" t="s">
        <v>614</v>
      </c>
      <c r="D225" t="s">
        <v>594</v>
      </c>
      <c r="E225" t="s">
        <v>595</v>
      </c>
      <c r="F225" t="s">
        <v>615</v>
      </c>
      <c r="G225" t="str">
        <f>_xlfn.XLOOKUP(F225,'NPO Caseware'!G:G,'NPO Caseware'!H:H)</f>
        <v>PBC</v>
      </c>
      <c r="H225" t="str">
        <f>_xlfn.XLOOKUP(F225,'NPO Caseware'!G:G,'NPO Caseware'!I:I)</f>
        <v>PDF</v>
      </c>
      <c r="L225" s="7" t="s">
        <v>17</v>
      </c>
      <c r="M225" s="8" t="s">
        <v>458</v>
      </c>
      <c r="N225" s="8"/>
      <c r="O225" s="8"/>
    </row>
    <row r="226" spans="1:15">
      <c r="A226" t="s">
        <v>616</v>
      </c>
      <c r="D226" t="s">
        <v>594</v>
      </c>
      <c r="E226" t="s">
        <v>595</v>
      </c>
      <c r="F226" t="s">
        <v>617</v>
      </c>
      <c r="G226" t="str">
        <f>_xlfn.XLOOKUP(F226,'NPO Caseware'!G:G,'NPO Caseware'!H:H)</f>
        <v>PBC</v>
      </c>
      <c r="H226" t="str">
        <f>_xlfn.XLOOKUP(F226,'NPO Caseware'!G:G,'NPO Caseware'!I:I)</f>
        <v>PDF</v>
      </c>
      <c r="L226" s="7" t="s">
        <v>17</v>
      </c>
      <c r="M226" s="8" t="s">
        <v>458</v>
      </c>
      <c r="N226" s="8"/>
      <c r="O226" s="8"/>
    </row>
    <row r="227" spans="1:15">
      <c r="A227" t="s">
        <v>618</v>
      </c>
      <c r="D227" t="s">
        <v>594</v>
      </c>
      <c r="E227" t="s">
        <v>595</v>
      </c>
      <c r="F227" t="s">
        <v>619</v>
      </c>
      <c r="G227" t="s">
        <v>58</v>
      </c>
      <c r="H227" t="s">
        <v>59</v>
      </c>
      <c r="L227" s="7" t="s">
        <v>17</v>
      </c>
      <c r="M227" s="8" t="s">
        <v>504</v>
      </c>
      <c r="N227" s="8"/>
      <c r="O227" s="8"/>
    </row>
    <row r="228" spans="1:15">
      <c r="A228" t="s">
        <v>620</v>
      </c>
      <c r="D228" t="s">
        <v>594</v>
      </c>
      <c r="E228" t="s">
        <v>595</v>
      </c>
      <c r="F228" t="s">
        <v>621</v>
      </c>
      <c r="G228" t="s">
        <v>58</v>
      </c>
      <c r="H228" t="s">
        <v>59</v>
      </c>
      <c r="L228" s="10" t="s">
        <v>183</v>
      </c>
      <c r="M228" s="8" t="s">
        <v>578</v>
      </c>
      <c r="N228" s="8"/>
      <c r="O228" s="8"/>
    </row>
    <row r="229" spans="1:15">
      <c r="A229" t="s">
        <v>622</v>
      </c>
      <c r="D229" t="s">
        <v>623</v>
      </c>
      <c r="E229" t="s">
        <v>624</v>
      </c>
      <c r="F229" t="s">
        <v>625</v>
      </c>
      <c r="G229" t="s">
        <v>58</v>
      </c>
      <c r="H229" t="s">
        <v>201</v>
      </c>
      <c r="L229" s="7" t="s">
        <v>17</v>
      </c>
      <c r="M229" s="8" t="s">
        <v>443</v>
      </c>
      <c r="N229" s="8"/>
      <c r="O229" s="8"/>
    </row>
    <row r="230" spans="1:15">
      <c r="A230" t="s">
        <v>626</v>
      </c>
      <c r="D230" t="s">
        <v>623</v>
      </c>
      <c r="E230" t="s">
        <v>624</v>
      </c>
      <c r="F230" t="s">
        <v>627</v>
      </c>
      <c r="G230" t="s">
        <v>31</v>
      </c>
      <c r="H230" t="s">
        <v>32</v>
      </c>
      <c r="I230" t="s">
        <v>628</v>
      </c>
      <c r="L230" s="7" t="s">
        <v>17</v>
      </c>
      <c r="M230" s="8" t="s">
        <v>28</v>
      </c>
      <c r="N230" s="8"/>
      <c r="O230" s="8"/>
    </row>
    <row r="231" spans="1:15">
      <c r="A231" t="s">
        <v>629</v>
      </c>
      <c r="D231" t="s">
        <v>623</v>
      </c>
      <c r="E231" t="s">
        <v>624</v>
      </c>
      <c r="F231" t="s">
        <v>630</v>
      </c>
      <c r="G231" t="str">
        <f>_xlfn.XLOOKUP(F231,'NPO Caseware'!G:G,'NPO Caseware'!H:H)</f>
        <v>HCLLP WP</v>
      </c>
      <c r="H231" t="str">
        <f>_xlfn.XLOOKUP(F231,'NPO Caseware'!G:G,'NPO Caseware'!I:I)</f>
        <v>Excel</v>
      </c>
      <c r="L231" s="7" t="s">
        <v>17</v>
      </c>
      <c r="M231" s="8" t="s">
        <v>631</v>
      </c>
      <c r="N231" s="8"/>
      <c r="O231" s="8"/>
    </row>
    <row r="232" spans="1:15">
      <c r="A232" t="s">
        <v>632</v>
      </c>
      <c r="D232" t="s">
        <v>623</v>
      </c>
      <c r="E232" t="s">
        <v>624</v>
      </c>
      <c r="F232" t="s">
        <v>633</v>
      </c>
      <c r="G232" t="str">
        <f>_xlfn.XLOOKUP(F232,'NPO Caseware'!G:G,'NPO Caseware'!H:H)</f>
        <v>PBC</v>
      </c>
      <c r="H232" t="str">
        <f>_xlfn.XLOOKUP(F232,'NPO Caseware'!G:G,'NPO Caseware'!I:I)</f>
        <v>Excel</v>
      </c>
      <c r="L232" s="7" t="s">
        <v>17</v>
      </c>
      <c r="M232" s="8" t="s">
        <v>479</v>
      </c>
      <c r="N232" s="8"/>
      <c r="O232" s="8"/>
    </row>
    <row r="233" spans="1:15">
      <c r="A233" t="s">
        <v>634</v>
      </c>
      <c r="D233" t="s">
        <v>623</v>
      </c>
      <c r="E233" t="s">
        <v>624</v>
      </c>
      <c r="F233" t="s">
        <v>635</v>
      </c>
      <c r="G233" t="str">
        <f>_xlfn.XLOOKUP(F233,'NPO Caseware'!G:G,'NPO Caseware'!H:H)</f>
        <v>PBC</v>
      </c>
      <c r="H233" t="str">
        <f>_xlfn.XLOOKUP(F233,'NPO Caseware'!G:G,'NPO Caseware'!I:I)</f>
        <v>Excel</v>
      </c>
      <c r="L233" s="7" t="s">
        <v>17</v>
      </c>
      <c r="M233" s="8" t="s">
        <v>504</v>
      </c>
      <c r="N233" s="8"/>
      <c r="O233" s="8"/>
    </row>
    <row r="234" spans="1:15">
      <c r="A234" t="s">
        <v>636</v>
      </c>
      <c r="D234" t="s">
        <v>637</v>
      </c>
      <c r="E234" t="s">
        <v>638</v>
      </c>
      <c r="F234" t="s">
        <v>639</v>
      </c>
      <c r="G234" t="s">
        <v>58</v>
      </c>
      <c r="H234" t="s">
        <v>201</v>
      </c>
      <c r="L234" s="7" t="s">
        <v>17</v>
      </c>
      <c r="M234" s="8" t="s">
        <v>443</v>
      </c>
      <c r="N234" s="8"/>
      <c r="O234" s="8"/>
    </row>
    <row r="235" spans="1:15">
      <c r="A235" t="s">
        <v>640</v>
      </c>
      <c r="D235" t="s">
        <v>637</v>
      </c>
      <c r="E235" t="s">
        <v>638</v>
      </c>
      <c r="F235" t="s">
        <v>641</v>
      </c>
      <c r="G235" t="s">
        <v>31</v>
      </c>
      <c r="H235" t="s">
        <v>32</v>
      </c>
      <c r="I235" t="s">
        <v>642</v>
      </c>
      <c r="L235" s="7" t="s">
        <v>17</v>
      </c>
      <c r="M235" s="8" t="s">
        <v>28</v>
      </c>
      <c r="N235" s="8"/>
      <c r="O235" s="8"/>
    </row>
    <row r="236" spans="1:15">
      <c r="A236" t="s">
        <v>643</v>
      </c>
      <c r="D236" t="s">
        <v>637</v>
      </c>
      <c r="E236" t="s">
        <v>638</v>
      </c>
      <c r="F236" t="s">
        <v>644</v>
      </c>
      <c r="G236" t="s">
        <v>58</v>
      </c>
      <c r="H236" t="s">
        <v>59</v>
      </c>
      <c r="L236" s="7" t="s">
        <v>17</v>
      </c>
      <c r="M236" s="8" t="s">
        <v>407</v>
      </c>
      <c r="N236" s="8"/>
      <c r="O236" s="8"/>
    </row>
    <row r="237" spans="1:15">
      <c r="A237" t="s">
        <v>645</v>
      </c>
      <c r="D237" t="s">
        <v>637</v>
      </c>
      <c r="E237" t="s">
        <v>638</v>
      </c>
      <c r="F237" t="s">
        <v>646</v>
      </c>
      <c r="G237" t="str">
        <f>_xlfn.XLOOKUP(F237,'NPO Caseware'!G:G,'NPO Caseware'!H:H)</f>
        <v>PBC</v>
      </c>
      <c r="H237" t="str">
        <f>_xlfn.XLOOKUP(F237,'NPO Caseware'!G:G,'NPO Caseware'!I:I)</f>
        <v>Excel</v>
      </c>
      <c r="L237" s="7" t="s">
        <v>17</v>
      </c>
      <c r="M237" s="8" t="s">
        <v>647</v>
      </c>
      <c r="N237" s="8"/>
      <c r="O237" s="8"/>
    </row>
    <row r="238" spans="1:15">
      <c r="A238" t="s">
        <v>648</v>
      </c>
      <c r="D238" t="s">
        <v>649</v>
      </c>
      <c r="E238" t="s">
        <v>650</v>
      </c>
      <c r="F238" t="s">
        <v>651</v>
      </c>
      <c r="G238" t="s">
        <v>58</v>
      </c>
      <c r="H238" t="s">
        <v>201</v>
      </c>
      <c r="L238" s="7" t="s">
        <v>17</v>
      </c>
      <c r="M238" s="8" t="s">
        <v>443</v>
      </c>
      <c r="N238" s="8"/>
      <c r="O238" s="8"/>
    </row>
    <row r="239" spans="1:15">
      <c r="A239" t="s">
        <v>652</v>
      </c>
      <c r="D239" t="s">
        <v>649</v>
      </c>
      <c r="E239" t="s">
        <v>650</v>
      </c>
      <c r="F239" t="s">
        <v>653</v>
      </c>
      <c r="G239" t="str">
        <f>_xlfn.XLOOKUP(F239,'NPO Caseware'!G:G,'NPO Caseware'!H:H)</f>
        <v>PPC</v>
      </c>
      <c r="H239" t="str">
        <f>_xlfn.XLOOKUP(F239,'NPO Caseware'!G:G,'NPO Caseware'!I:I)</f>
        <v>Word</v>
      </c>
      <c r="I239" t="s">
        <v>654</v>
      </c>
      <c r="L239" s="7" t="s">
        <v>17</v>
      </c>
      <c r="M239" s="8" t="s">
        <v>28</v>
      </c>
      <c r="N239" s="8"/>
      <c r="O239" s="8"/>
    </row>
    <row r="240" spans="1:15">
      <c r="A240" t="s">
        <v>655</v>
      </c>
      <c r="D240" t="s">
        <v>649</v>
      </c>
      <c r="E240" t="s">
        <v>650</v>
      </c>
      <c r="F240" t="s">
        <v>656</v>
      </c>
      <c r="G240" t="str">
        <f>_xlfn.XLOOKUP(F240,'NPO Caseware'!G:G,'NPO Caseware'!H:H)</f>
        <v>HCLLP WP</v>
      </c>
      <c r="H240" t="str">
        <f>_xlfn.XLOOKUP(F240,'NPO Caseware'!G:G,'NPO Caseware'!I:I)</f>
        <v>Excel</v>
      </c>
      <c r="L240" s="7" t="s">
        <v>17</v>
      </c>
      <c r="M240" s="8" t="s">
        <v>449</v>
      </c>
      <c r="N240" s="8"/>
      <c r="O240" s="8"/>
    </row>
    <row r="241" spans="1:15">
      <c r="A241" t="s">
        <v>657</v>
      </c>
      <c r="D241" t="s">
        <v>649</v>
      </c>
      <c r="E241" t="s">
        <v>650</v>
      </c>
      <c r="F241" t="s">
        <v>658</v>
      </c>
      <c r="G241" t="s">
        <v>58</v>
      </c>
      <c r="H241" t="s">
        <v>59</v>
      </c>
      <c r="L241" s="7" t="s">
        <v>17</v>
      </c>
      <c r="M241" s="8" t="s">
        <v>530</v>
      </c>
      <c r="N241" s="8"/>
      <c r="O241" s="8"/>
    </row>
    <row r="242" spans="1:15">
      <c r="A242" t="s">
        <v>659</v>
      </c>
      <c r="D242" t="s">
        <v>649</v>
      </c>
      <c r="E242" t="s">
        <v>650</v>
      </c>
      <c r="F242" t="s">
        <v>660</v>
      </c>
      <c r="G242" t="s">
        <v>58</v>
      </c>
      <c r="H242" t="s">
        <v>59</v>
      </c>
      <c r="L242" s="7" t="s">
        <v>17</v>
      </c>
      <c r="M242" s="8" t="s">
        <v>407</v>
      </c>
      <c r="N242" s="8"/>
      <c r="O242" s="8"/>
    </row>
    <row r="243" spans="1:15">
      <c r="A243" t="s">
        <v>661</v>
      </c>
      <c r="D243" t="s">
        <v>649</v>
      </c>
      <c r="E243" t="s">
        <v>650</v>
      </c>
      <c r="F243" t="s">
        <v>662</v>
      </c>
      <c r="G243" t="str">
        <f>_xlfn.XLOOKUP(F243,'NPO Caseware'!G:G,'NPO Caseware'!H:H)</f>
        <v>PPC</v>
      </c>
      <c r="H243" t="str">
        <f>_xlfn.XLOOKUP(F243,'NPO Caseware'!G:G,'NPO Caseware'!I:I)</f>
        <v>Word</v>
      </c>
      <c r="I243" t="s">
        <v>556</v>
      </c>
      <c r="L243" s="7" t="s">
        <v>17</v>
      </c>
      <c r="M243" s="8" t="s">
        <v>60</v>
      </c>
      <c r="N243" s="8"/>
      <c r="O243" s="8"/>
    </row>
    <row r="244" spans="1:15">
      <c r="A244" t="s">
        <v>663</v>
      </c>
      <c r="D244" t="s">
        <v>649</v>
      </c>
      <c r="E244" t="s">
        <v>650</v>
      </c>
      <c r="F244" t="s">
        <v>558</v>
      </c>
      <c r="G244" t="str">
        <f>_xlfn.XLOOKUP(F244,'NPO Caseware'!G:G,'NPO Caseware'!H:H)</f>
        <v>PPC</v>
      </c>
      <c r="H244" t="str">
        <f>_xlfn.XLOOKUP(F244,'NPO Caseware'!G:G,'NPO Caseware'!I:I)</f>
        <v>Word</v>
      </c>
      <c r="I244" t="s">
        <v>559</v>
      </c>
      <c r="L244" s="7" t="s">
        <v>17</v>
      </c>
      <c r="M244" s="8" t="s">
        <v>438</v>
      </c>
      <c r="N244" s="8"/>
      <c r="O244" s="8"/>
    </row>
    <row r="245" spans="1:15">
      <c r="A245" t="s">
        <v>664</v>
      </c>
      <c r="D245" t="s">
        <v>649</v>
      </c>
      <c r="E245" t="s">
        <v>650</v>
      </c>
      <c r="F245" t="s">
        <v>665</v>
      </c>
      <c r="G245" t="s">
        <v>58</v>
      </c>
      <c r="H245" t="s">
        <v>59</v>
      </c>
      <c r="J245" t="s">
        <v>666</v>
      </c>
      <c r="L245" s="10" t="s">
        <v>183</v>
      </c>
      <c r="M245" s="8" t="s">
        <v>667</v>
      </c>
      <c r="N245" s="8"/>
      <c r="O245" s="8"/>
    </row>
    <row r="246" spans="1:15">
      <c r="A246" t="s">
        <v>668</v>
      </c>
      <c r="D246" t="s">
        <v>649</v>
      </c>
      <c r="E246" t="s">
        <v>650</v>
      </c>
      <c r="F246" t="s">
        <v>669</v>
      </c>
      <c r="G246" t="str">
        <f>_xlfn.XLOOKUP(F246,'NPO Caseware'!G:G,'NPO Caseware'!H:H)</f>
        <v>PPC</v>
      </c>
      <c r="H246" t="str">
        <f>_xlfn.XLOOKUP(F246,'NPO Caseware'!G:G,'NPO Caseware'!I:I)</f>
        <v>Word</v>
      </c>
      <c r="I246" t="s">
        <v>556</v>
      </c>
      <c r="J246" t="s">
        <v>666</v>
      </c>
      <c r="L246" s="7" t="s">
        <v>17</v>
      </c>
      <c r="M246" s="8" t="s">
        <v>60</v>
      </c>
      <c r="N246" s="8"/>
      <c r="O246" s="8"/>
    </row>
    <row r="247" spans="1:15">
      <c r="A247" t="s">
        <v>670</v>
      </c>
      <c r="D247" t="s">
        <v>649</v>
      </c>
      <c r="E247" t="s">
        <v>650</v>
      </c>
      <c r="F247" t="s">
        <v>558</v>
      </c>
      <c r="G247" t="str">
        <f>_xlfn.XLOOKUP(F247,'NPO Caseware'!G:G,'NPO Caseware'!H:H)</f>
        <v>PPC</v>
      </c>
      <c r="H247" t="str">
        <f>_xlfn.XLOOKUP(F247,'NPO Caseware'!G:G,'NPO Caseware'!I:I)</f>
        <v>Word</v>
      </c>
      <c r="I247" t="s">
        <v>559</v>
      </c>
      <c r="J247" t="s">
        <v>666</v>
      </c>
      <c r="L247" s="7" t="s">
        <v>17</v>
      </c>
      <c r="M247" s="8" t="s">
        <v>438</v>
      </c>
      <c r="N247" s="8"/>
      <c r="O247" s="8"/>
    </row>
    <row r="248" spans="1:15">
      <c r="A248" t="s">
        <v>671</v>
      </c>
      <c r="D248" t="s">
        <v>649</v>
      </c>
      <c r="E248" t="s">
        <v>650</v>
      </c>
      <c r="F248" t="s">
        <v>672</v>
      </c>
      <c r="G248" t="s">
        <v>58</v>
      </c>
      <c r="H248" t="s">
        <v>59</v>
      </c>
      <c r="J248" t="s">
        <v>666</v>
      </c>
      <c r="L248" s="7" t="s">
        <v>17</v>
      </c>
      <c r="M248" s="8" t="s">
        <v>407</v>
      </c>
      <c r="N248" s="8"/>
      <c r="O248" s="8"/>
    </row>
    <row r="249" spans="1:15">
      <c r="A249" t="s">
        <v>673</v>
      </c>
      <c r="D249" t="s">
        <v>649</v>
      </c>
      <c r="E249" t="s">
        <v>650</v>
      </c>
      <c r="F249" t="s">
        <v>674</v>
      </c>
      <c r="G249" t="str">
        <f>_xlfn.XLOOKUP(F249,'NPO Caseware'!G:G,'NPO Caseware'!H:H)</f>
        <v>PBC</v>
      </c>
      <c r="H249" t="str">
        <f>_xlfn.XLOOKUP(F249,'NPO Caseware'!G:G,'NPO Caseware'!I:I)</f>
        <v>PDF</v>
      </c>
      <c r="L249" s="7" t="s">
        <v>17</v>
      </c>
      <c r="M249" s="8" t="s">
        <v>573</v>
      </c>
      <c r="N249" s="8"/>
      <c r="O249" s="8"/>
    </row>
    <row r="250" spans="1:15">
      <c r="A250" t="s">
        <v>675</v>
      </c>
      <c r="D250" t="s">
        <v>649</v>
      </c>
      <c r="E250" t="s">
        <v>650</v>
      </c>
      <c r="F250" t="s">
        <v>676</v>
      </c>
      <c r="G250" t="s">
        <v>58</v>
      </c>
      <c r="H250" t="s">
        <v>59</v>
      </c>
      <c r="L250" s="7" t="s">
        <v>17</v>
      </c>
      <c r="M250" s="8" t="s">
        <v>407</v>
      </c>
      <c r="N250" s="8"/>
      <c r="O250" s="8"/>
    </row>
    <row r="251" spans="1:15">
      <c r="A251" t="s">
        <v>677</v>
      </c>
      <c r="D251" t="s">
        <v>678</v>
      </c>
      <c r="E251" t="s">
        <v>679</v>
      </c>
      <c r="F251" t="s">
        <v>680</v>
      </c>
      <c r="G251" t="s">
        <v>58</v>
      </c>
      <c r="H251" t="s">
        <v>201</v>
      </c>
      <c r="L251" s="7" t="s">
        <v>17</v>
      </c>
      <c r="M251" s="8" t="s">
        <v>443</v>
      </c>
      <c r="N251" s="8"/>
      <c r="O251" s="8"/>
    </row>
    <row r="252" spans="1:15">
      <c r="A252" t="s">
        <v>681</v>
      </c>
      <c r="D252" t="s">
        <v>678</v>
      </c>
      <c r="E252" t="s">
        <v>679</v>
      </c>
      <c r="F252" t="s">
        <v>682</v>
      </c>
      <c r="G252" t="s">
        <v>58</v>
      </c>
      <c r="H252" t="s">
        <v>59</v>
      </c>
      <c r="L252" s="7" t="s">
        <v>17</v>
      </c>
      <c r="M252" s="8" t="s">
        <v>407</v>
      </c>
      <c r="N252" s="8"/>
      <c r="O252" s="8"/>
    </row>
    <row r="253" spans="1:15">
      <c r="A253" t="s">
        <v>683</v>
      </c>
      <c r="D253" t="s">
        <v>678</v>
      </c>
      <c r="E253" t="s">
        <v>679</v>
      </c>
      <c r="F253" t="s">
        <v>684</v>
      </c>
      <c r="G253" t="s">
        <v>58</v>
      </c>
      <c r="H253" t="s">
        <v>59</v>
      </c>
      <c r="L253" s="7" t="s">
        <v>17</v>
      </c>
      <c r="M253" s="8" t="s">
        <v>407</v>
      </c>
      <c r="N253" s="8"/>
      <c r="O253" s="8"/>
    </row>
    <row r="254" spans="1:15">
      <c r="A254" t="s">
        <v>685</v>
      </c>
      <c r="D254" t="s">
        <v>686</v>
      </c>
      <c r="E254" t="s">
        <v>687</v>
      </c>
      <c r="F254" t="s">
        <v>688</v>
      </c>
      <c r="G254" t="s">
        <v>58</v>
      </c>
      <c r="H254" t="s">
        <v>201</v>
      </c>
      <c r="L254" s="7" t="s">
        <v>17</v>
      </c>
      <c r="M254" s="8" t="s">
        <v>443</v>
      </c>
      <c r="N254" s="8"/>
      <c r="O254" s="8"/>
    </row>
    <row r="255" spans="1:15">
      <c r="A255" t="s">
        <v>689</v>
      </c>
      <c r="D255" t="s">
        <v>686</v>
      </c>
      <c r="E255" t="s">
        <v>687</v>
      </c>
      <c r="F255" t="s">
        <v>690</v>
      </c>
      <c r="G255" t="s">
        <v>58</v>
      </c>
      <c r="H255" t="s">
        <v>201</v>
      </c>
      <c r="L255" s="7" t="s">
        <v>17</v>
      </c>
      <c r="M255" s="8" t="s">
        <v>443</v>
      </c>
      <c r="N255" s="8"/>
      <c r="O255" s="8"/>
    </row>
    <row r="256" spans="1:15">
      <c r="A256" t="s">
        <v>691</v>
      </c>
      <c r="D256" t="s">
        <v>686</v>
      </c>
      <c r="E256" t="s">
        <v>687</v>
      </c>
      <c r="F256" t="s">
        <v>692</v>
      </c>
      <c r="G256" t="s">
        <v>58</v>
      </c>
      <c r="H256" t="s">
        <v>201</v>
      </c>
      <c r="L256" s="7" t="s">
        <v>17</v>
      </c>
      <c r="M256" s="8" t="s">
        <v>443</v>
      </c>
      <c r="N256" s="8"/>
      <c r="O256" s="8"/>
    </row>
    <row r="257" spans="1:15">
      <c r="A257" t="s">
        <v>693</v>
      </c>
      <c r="D257" t="s">
        <v>686</v>
      </c>
      <c r="E257" t="s">
        <v>687</v>
      </c>
      <c r="F257" t="s">
        <v>694</v>
      </c>
      <c r="G257" t="s">
        <v>58</v>
      </c>
      <c r="H257" t="s">
        <v>201</v>
      </c>
      <c r="L257" s="7" t="s">
        <v>17</v>
      </c>
      <c r="M257" s="8" t="s">
        <v>443</v>
      </c>
      <c r="N257" s="8"/>
      <c r="O257" s="8"/>
    </row>
    <row r="258" spans="1:15">
      <c r="A258" t="s">
        <v>695</v>
      </c>
      <c r="D258" t="s">
        <v>686</v>
      </c>
      <c r="E258" t="s">
        <v>687</v>
      </c>
      <c r="F258" t="s">
        <v>696</v>
      </c>
      <c r="G258" t="s">
        <v>31</v>
      </c>
      <c r="H258" t="s">
        <v>32</v>
      </c>
      <c r="I258" t="s">
        <v>697</v>
      </c>
      <c r="L258" s="7" t="s">
        <v>17</v>
      </c>
      <c r="M258" s="8" t="s">
        <v>28</v>
      </c>
      <c r="N258" s="8"/>
      <c r="O258" s="8"/>
    </row>
    <row r="259" spans="1:15">
      <c r="A259" t="s">
        <v>698</v>
      </c>
      <c r="D259" t="s">
        <v>686</v>
      </c>
      <c r="E259" t="s">
        <v>687</v>
      </c>
      <c r="F259" t="s">
        <v>699</v>
      </c>
      <c r="G259" t="s">
        <v>58</v>
      </c>
      <c r="H259" t="s">
        <v>59</v>
      </c>
      <c r="L259" s="7" t="s">
        <v>17</v>
      </c>
      <c r="M259" s="8" t="s">
        <v>700</v>
      </c>
      <c r="N259" s="8"/>
      <c r="O259" s="8"/>
    </row>
    <row r="260" spans="1:15">
      <c r="A260" t="s">
        <v>701</v>
      </c>
      <c r="D260" t="s">
        <v>702</v>
      </c>
      <c r="E260" t="s">
        <v>703</v>
      </c>
      <c r="F260" t="s">
        <v>704</v>
      </c>
      <c r="G260" t="s">
        <v>58</v>
      </c>
      <c r="H260" t="s">
        <v>201</v>
      </c>
      <c r="L260" s="7" t="s">
        <v>17</v>
      </c>
      <c r="M260" s="8" t="s">
        <v>443</v>
      </c>
      <c r="N260" s="8"/>
      <c r="O260" s="8"/>
    </row>
    <row r="261" spans="1:15">
      <c r="A261" t="s">
        <v>705</v>
      </c>
      <c r="D261" t="s">
        <v>702</v>
      </c>
      <c r="E261" t="s">
        <v>703</v>
      </c>
      <c r="F261" t="s">
        <v>706</v>
      </c>
      <c r="G261" t="s">
        <v>58</v>
      </c>
      <c r="H261" t="s">
        <v>201</v>
      </c>
      <c r="L261" s="7" t="s">
        <v>17</v>
      </c>
      <c r="M261" s="8" t="s">
        <v>443</v>
      </c>
      <c r="N261" s="8"/>
      <c r="O261" s="8"/>
    </row>
    <row r="262" spans="1:15">
      <c r="A262" t="s">
        <v>707</v>
      </c>
      <c r="D262" t="s">
        <v>702</v>
      </c>
      <c r="E262" t="s">
        <v>703</v>
      </c>
      <c r="F262" t="s">
        <v>708</v>
      </c>
      <c r="G262" t="s">
        <v>58</v>
      </c>
      <c r="H262" t="s">
        <v>201</v>
      </c>
      <c r="L262" s="7" t="s">
        <v>17</v>
      </c>
      <c r="M262" s="8" t="s">
        <v>443</v>
      </c>
      <c r="N262" s="8"/>
      <c r="O262" s="8"/>
    </row>
    <row r="263" spans="1:15">
      <c r="A263" t="s">
        <v>709</v>
      </c>
      <c r="D263" t="s">
        <v>702</v>
      </c>
      <c r="E263" t="s">
        <v>703</v>
      </c>
      <c r="F263" t="s">
        <v>710</v>
      </c>
      <c r="G263" t="s">
        <v>58</v>
      </c>
      <c r="H263" t="s">
        <v>201</v>
      </c>
      <c r="L263" s="7" t="s">
        <v>17</v>
      </c>
      <c r="M263" s="8" t="s">
        <v>443</v>
      </c>
      <c r="N263" s="8"/>
      <c r="O263" s="8"/>
    </row>
    <row r="264" spans="1:15">
      <c r="A264" s="14" t="s">
        <v>711</v>
      </c>
      <c r="B264" s="14"/>
      <c r="C264" s="14"/>
      <c r="D264" t="s">
        <v>702</v>
      </c>
      <c r="E264" t="s">
        <v>703</v>
      </c>
      <c r="F264" t="s">
        <v>712</v>
      </c>
      <c r="G264" t="s">
        <v>58</v>
      </c>
      <c r="H264" t="s">
        <v>59</v>
      </c>
      <c r="L264" s="7" t="s">
        <v>17</v>
      </c>
      <c r="M264" s="8" t="s">
        <v>407</v>
      </c>
      <c r="N264" s="8"/>
      <c r="O264" s="8"/>
    </row>
    <row r="265" spans="1:15">
      <c r="A265" s="14" t="s">
        <v>713</v>
      </c>
      <c r="B265" s="14"/>
      <c r="C265" s="14"/>
      <c r="D265" t="s">
        <v>702</v>
      </c>
      <c r="E265" t="s">
        <v>703</v>
      </c>
      <c r="F265" t="s">
        <v>714</v>
      </c>
      <c r="G265" t="s">
        <v>58</v>
      </c>
      <c r="H265" t="s">
        <v>59</v>
      </c>
      <c r="L265" s="7" t="s">
        <v>17</v>
      </c>
      <c r="M265" s="8" t="s">
        <v>407</v>
      </c>
      <c r="N265" s="8"/>
      <c r="O265" s="8"/>
    </row>
    <row r="266" spans="1:15">
      <c r="A266" t="s">
        <v>715</v>
      </c>
      <c r="D266" t="s">
        <v>702</v>
      </c>
      <c r="E266" t="s">
        <v>703</v>
      </c>
      <c r="F266" t="s">
        <v>716</v>
      </c>
      <c r="G266" t="s">
        <v>58</v>
      </c>
      <c r="H266" t="s">
        <v>59</v>
      </c>
      <c r="L266" s="7" t="s">
        <v>17</v>
      </c>
      <c r="M266" s="8" t="s">
        <v>407</v>
      </c>
      <c r="N266" s="8"/>
      <c r="O266" s="8"/>
    </row>
    <row r="267" spans="1:15">
      <c r="A267" t="s">
        <v>717</v>
      </c>
      <c r="D267" t="s">
        <v>702</v>
      </c>
      <c r="E267" t="s">
        <v>703</v>
      </c>
      <c r="F267" t="s">
        <v>718</v>
      </c>
      <c r="G267" t="s">
        <v>58</v>
      </c>
      <c r="H267" t="s">
        <v>59</v>
      </c>
      <c r="L267" s="7" t="s">
        <v>17</v>
      </c>
      <c r="M267" s="8" t="s">
        <v>407</v>
      </c>
      <c r="N267" s="8"/>
      <c r="O267" s="8"/>
    </row>
    <row r="268" spans="1:15">
      <c r="A268" s="14" t="s">
        <v>719</v>
      </c>
      <c r="B268" s="14"/>
      <c r="C268" s="14"/>
      <c r="D268" t="s">
        <v>702</v>
      </c>
      <c r="E268" t="s">
        <v>703</v>
      </c>
      <c r="F268" t="s">
        <v>720</v>
      </c>
      <c r="G268" t="str">
        <f>_xlfn.XLOOKUP(F268,'NPO Caseware'!G:G,'NPO Caseware'!H:H)</f>
        <v>HCLLP WP</v>
      </c>
      <c r="H268" t="str">
        <f>_xlfn.XLOOKUP(F268,'NPO Caseware'!G:G,'NPO Caseware'!I:I)</f>
        <v>Excel</v>
      </c>
      <c r="L268" s="7" t="s">
        <v>17</v>
      </c>
      <c r="M268" s="8" t="s">
        <v>721</v>
      </c>
      <c r="N268" s="8"/>
      <c r="O268" s="8"/>
    </row>
    <row r="269" spans="1:15">
      <c r="A269" s="14" t="s">
        <v>722</v>
      </c>
      <c r="B269" s="14"/>
      <c r="C269" s="14"/>
      <c r="D269" t="s">
        <v>702</v>
      </c>
      <c r="E269" t="s">
        <v>703</v>
      </c>
      <c r="F269" t="s">
        <v>723</v>
      </c>
      <c r="G269" t="s">
        <v>58</v>
      </c>
      <c r="H269" t="s">
        <v>59</v>
      </c>
      <c r="L269" s="7" t="s">
        <v>17</v>
      </c>
      <c r="M269" s="8" t="s">
        <v>407</v>
      </c>
      <c r="N269" s="8"/>
      <c r="O269" s="8"/>
    </row>
    <row r="270" spans="1:15">
      <c r="A270" s="14" t="s">
        <v>724</v>
      </c>
      <c r="B270" s="14"/>
      <c r="C270" s="14"/>
      <c r="D270" t="s">
        <v>702</v>
      </c>
      <c r="E270" t="s">
        <v>703</v>
      </c>
      <c r="F270" t="s">
        <v>725</v>
      </c>
      <c r="G270" t="s">
        <v>31</v>
      </c>
      <c r="H270" t="s">
        <v>32</v>
      </c>
      <c r="I270" t="s">
        <v>556</v>
      </c>
      <c r="J270" t="s">
        <v>726</v>
      </c>
      <c r="L270" s="7" t="s">
        <v>17</v>
      </c>
      <c r="M270" s="8" t="s">
        <v>60</v>
      </c>
      <c r="N270" s="8"/>
      <c r="O270" s="8"/>
    </row>
    <row r="271" spans="1:15">
      <c r="A271" s="14" t="s">
        <v>727</v>
      </c>
      <c r="B271" s="14"/>
      <c r="C271" s="14"/>
      <c r="D271" t="s">
        <v>702</v>
      </c>
      <c r="E271" t="s">
        <v>703</v>
      </c>
      <c r="F271" t="s">
        <v>728</v>
      </c>
      <c r="G271" t="str">
        <f>_xlfn.XLOOKUP(F271,'NPO Caseware'!G:G,'NPO Caseware'!H:H)</f>
        <v>HCLLP WP</v>
      </c>
      <c r="H271" t="str">
        <f>_xlfn.XLOOKUP(F271,'NPO Caseware'!G:G,'NPO Caseware'!I:I)</f>
        <v>Word</v>
      </c>
      <c r="I271" t="s">
        <v>559</v>
      </c>
      <c r="J271" t="s">
        <v>729</v>
      </c>
      <c r="L271" s="7" t="s">
        <v>17</v>
      </c>
      <c r="M271" s="8" t="s">
        <v>60</v>
      </c>
      <c r="N271" s="8"/>
      <c r="O271" s="8"/>
    </row>
    <row r="272" spans="1:15">
      <c r="A272" t="s">
        <v>730</v>
      </c>
      <c r="D272" t="s">
        <v>731</v>
      </c>
      <c r="E272" t="s">
        <v>732</v>
      </c>
      <c r="F272" t="s">
        <v>733</v>
      </c>
      <c r="G272" t="s">
        <v>58</v>
      </c>
      <c r="H272" t="s">
        <v>201</v>
      </c>
      <c r="L272" s="7" t="s">
        <v>17</v>
      </c>
      <c r="M272" s="8" t="s">
        <v>443</v>
      </c>
      <c r="N272" s="8"/>
      <c r="O272" s="8"/>
    </row>
    <row r="273" spans="1:15">
      <c r="A273" t="s">
        <v>734</v>
      </c>
      <c r="D273" t="s">
        <v>731</v>
      </c>
      <c r="E273" t="s">
        <v>732</v>
      </c>
      <c r="F273" t="s">
        <v>735</v>
      </c>
      <c r="G273" t="s">
        <v>58</v>
      </c>
      <c r="H273" t="s">
        <v>201</v>
      </c>
      <c r="L273" s="7" t="s">
        <v>17</v>
      </c>
      <c r="M273" s="8" t="s">
        <v>443</v>
      </c>
      <c r="N273" s="8"/>
      <c r="O273" s="8"/>
    </row>
    <row r="274" spans="1:15">
      <c r="A274" t="s">
        <v>736</v>
      </c>
      <c r="D274" t="s">
        <v>731</v>
      </c>
      <c r="E274" t="s">
        <v>732</v>
      </c>
      <c r="F274" t="s">
        <v>737</v>
      </c>
      <c r="G274" t="s">
        <v>58</v>
      </c>
      <c r="H274" t="s">
        <v>201</v>
      </c>
      <c r="L274" s="7" t="s">
        <v>17</v>
      </c>
      <c r="M274" s="8" t="s">
        <v>443</v>
      </c>
      <c r="N274" s="8"/>
      <c r="O274" s="8"/>
    </row>
    <row r="275" spans="1:15">
      <c r="A275" t="s">
        <v>738</v>
      </c>
      <c r="D275" t="s">
        <v>731</v>
      </c>
      <c r="E275" t="s">
        <v>732</v>
      </c>
      <c r="F275" t="s">
        <v>739</v>
      </c>
      <c r="G275" t="s">
        <v>58</v>
      </c>
      <c r="H275" t="s">
        <v>201</v>
      </c>
      <c r="L275" s="7" t="s">
        <v>17</v>
      </c>
      <c r="M275" s="8" t="s">
        <v>443</v>
      </c>
      <c r="N275" s="8"/>
      <c r="O275" s="8"/>
    </row>
    <row r="276" spans="1:15">
      <c r="A276" s="14" t="s">
        <v>740</v>
      </c>
      <c r="B276" s="14"/>
      <c r="C276" s="14"/>
      <c r="D276" t="s">
        <v>731</v>
      </c>
      <c r="E276" t="s">
        <v>732</v>
      </c>
      <c r="F276" t="s">
        <v>741</v>
      </c>
      <c r="G276" t="s">
        <v>58</v>
      </c>
      <c r="H276" t="s">
        <v>59</v>
      </c>
      <c r="L276" s="7" t="s">
        <v>17</v>
      </c>
      <c r="M276" s="8" t="s">
        <v>407</v>
      </c>
      <c r="N276" s="8"/>
      <c r="O276" s="8"/>
    </row>
    <row r="277" spans="1:15">
      <c r="A277" s="14" t="s">
        <v>742</v>
      </c>
      <c r="B277" s="14"/>
      <c r="C277" s="14"/>
      <c r="D277" t="s">
        <v>731</v>
      </c>
      <c r="E277" t="s">
        <v>732</v>
      </c>
      <c r="F277" t="s">
        <v>743</v>
      </c>
      <c r="G277" t="s">
        <v>58</v>
      </c>
      <c r="H277" t="s">
        <v>59</v>
      </c>
      <c r="L277" s="7" t="s">
        <v>17</v>
      </c>
      <c r="M277" s="8" t="s">
        <v>407</v>
      </c>
      <c r="N277" s="8"/>
      <c r="O277" s="8"/>
    </row>
    <row r="278" spans="1:15">
      <c r="A278" t="s">
        <v>744</v>
      </c>
      <c r="D278" t="s">
        <v>731</v>
      </c>
      <c r="E278" t="s">
        <v>732</v>
      </c>
      <c r="F278" t="s">
        <v>745</v>
      </c>
      <c r="G278" t="s">
        <v>58</v>
      </c>
      <c r="H278" t="s">
        <v>59</v>
      </c>
      <c r="L278" s="7" t="s">
        <v>17</v>
      </c>
      <c r="M278" s="8" t="s">
        <v>407</v>
      </c>
      <c r="N278" s="8"/>
      <c r="O278" s="8"/>
    </row>
    <row r="279" spans="1:15">
      <c r="A279" t="s">
        <v>746</v>
      </c>
      <c r="D279" t="s">
        <v>731</v>
      </c>
      <c r="E279" t="s">
        <v>732</v>
      </c>
      <c r="F279" t="s">
        <v>747</v>
      </c>
      <c r="G279" t="s">
        <v>58</v>
      </c>
      <c r="H279" t="s">
        <v>59</v>
      </c>
      <c r="L279" s="7" t="s">
        <v>17</v>
      </c>
      <c r="M279" s="8" t="s">
        <v>407</v>
      </c>
      <c r="N279" s="8"/>
      <c r="O279" s="8"/>
    </row>
    <row r="280" spans="1:15">
      <c r="A280" t="s">
        <v>748</v>
      </c>
      <c r="D280" t="s">
        <v>731</v>
      </c>
      <c r="E280" t="s">
        <v>732</v>
      </c>
      <c r="F280" t="s">
        <v>749</v>
      </c>
      <c r="G280" t="s">
        <v>58</v>
      </c>
      <c r="H280" t="s">
        <v>201</v>
      </c>
      <c r="L280" s="7" t="s">
        <v>17</v>
      </c>
      <c r="M280" s="8" t="s">
        <v>443</v>
      </c>
      <c r="N280" s="8"/>
      <c r="O280" s="8"/>
    </row>
    <row r="281" spans="1:15">
      <c r="A281" t="s">
        <v>750</v>
      </c>
      <c r="D281" t="s">
        <v>731</v>
      </c>
      <c r="E281" t="s">
        <v>732</v>
      </c>
      <c r="F281" t="s">
        <v>751</v>
      </c>
      <c r="G281" t="s">
        <v>58</v>
      </c>
      <c r="H281" t="s">
        <v>59</v>
      </c>
      <c r="L281" s="7" t="s">
        <v>17</v>
      </c>
      <c r="M281" s="8" t="s">
        <v>407</v>
      </c>
      <c r="N281" s="8"/>
      <c r="O281" s="8"/>
    </row>
    <row r="282" spans="1:15">
      <c r="A282" t="s">
        <v>752</v>
      </c>
      <c r="D282" t="s">
        <v>731</v>
      </c>
      <c r="E282" t="s">
        <v>732</v>
      </c>
      <c r="F282" t="s">
        <v>753</v>
      </c>
      <c r="G282" t="str">
        <f>_xlfn.XLOOKUP(F282,'NPO Caseware'!G:G,'NPO Caseware'!H:H)</f>
        <v>HCLLP WP</v>
      </c>
      <c r="H282" t="str">
        <f>_xlfn.XLOOKUP(F282,'NPO Caseware'!G:G,'NPO Caseware'!I:I)</f>
        <v>Excel</v>
      </c>
      <c r="L282" s="7" t="s">
        <v>17</v>
      </c>
      <c r="M282" s="8" t="s">
        <v>721</v>
      </c>
      <c r="N282" s="8"/>
      <c r="O282" s="8"/>
    </row>
    <row r="283" spans="1:15">
      <c r="A283" t="s">
        <v>754</v>
      </c>
      <c r="D283" t="s">
        <v>755</v>
      </c>
      <c r="E283" t="s">
        <v>756</v>
      </c>
      <c r="F283" t="s">
        <v>757</v>
      </c>
      <c r="G283" t="s">
        <v>58</v>
      </c>
      <c r="H283" t="s">
        <v>201</v>
      </c>
      <c r="L283" s="7" t="s">
        <v>17</v>
      </c>
      <c r="M283" s="8" t="s">
        <v>443</v>
      </c>
      <c r="N283" s="8"/>
      <c r="O283" s="8"/>
    </row>
    <row r="284" spans="1:15">
      <c r="A284" t="s">
        <v>758</v>
      </c>
      <c r="D284" t="s">
        <v>755</v>
      </c>
      <c r="E284" t="s">
        <v>756</v>
      </c>
      <c r="F284" t="s">
        <v>759</v>
      </c>
      <c r="G284" t="s">
        <v>58</v>
      </c>
      <c r="H284" t="s">
        <v>59</v>
      </c>
      <c r="L284" s="7" t="s">
        <v>17</v>
      </c>
      <c r="M284" s="8" t="s">
        <v>407</v>
      </c>
      <c r="N284" s="8"/>
      <c r="O284" s="8"/>
    </row>
    <row r="285" spans="1:15">
      <c r="A285" t="s">
        <v>760</v>
      </c>
      <c r="D285" t="s">
        <v>755</v>
      </c>
      <c r="E285" t="s">
        <v>756</v>
      </c>
      <c r="F285" t="s">
        <v>761</v>
      </c>
      <c r="G285" t="s">
        <v>31</v>
      </c>
      <c r="H285" t="s">
        <v>32</v>
      </c>
      <c r="I285" t="s">
        <v>762</v>
      </c>
      <c r="L285" s="7" t="s">
        <v>17</v>
      </c>
      <c r="M285" s="8" t="s">
        <v>28</v>
      </c>
      <c r="N285" s="8"/>
      <c r="O285" s="8"/>
    </row>
    <row r="286" spans="1:15">
      <c r="A286" t="s">
        <v>763</v>
      </c>
      <c r="D286" t="s">
        <v>755</v>
      </c>
      <c r="E286" t="s">
        <v>756</v>
      </c>
      <c r="F286" t="s">
        <v>764</v>
      </c>
      <c r="G286" t="s">
        <v>31</v>
      </c>
      <c r="H286" t="s">
        <v>32</v>
      </c>
      <c r="I286" t="s">
        <v>765</v>
      </c>
      <c r="L286" s="10" t="s">
        <v>183</v>
      </c>
      <c r="M286" s="8" t="s">
        <v>766</v>
      </c>
      <c r="N286" s="8"/>
      <c r="O286" s="8"/>
    </row>
    <row r="287" spans="1:15">
      <c r="A287" t="s">
        <v>767</v>
      </c>
      <c r="D287" t="s">
        <v>755</v>
      </c>
      <c r="E287" t="s">
        <v>756</v>
      </c>
      <c r="F287" t="s">
        <v>768</v>
      </c>
      <c r="G287" t="s">
        <v>31</v>
      </c>
      <c r="H287" t="s">
        <v>32</v>
      </c>
      <c r="I287" t="s">
        <v>769</v>
      </c>
      <c r="J287" t="s">
        <v>770</v>
      </c>
      <c r="L287" s="10" t="s">
        <v>183</v>
      </c>
      <c r="M287" s="8" t="s">
        <v>667</v>
      </c>
      <c r="N287" s="8"/>
      <c r="O287" s="8"/>
    </row>
    <row r="288" spans="1:15">
      <c r="A288" t="s">
        <v>771</v>
      </c>
      <c r="D288" t="s">
        <v>755</v>
      </c>
      <c r="E288" t="s">
        <v>756</v>
      </c>
      <c r="F288" t="s">
        <v>772</v>
      </c>
      <c r="G288" t="s">
        <v>58</v>
      </c>
      <c r="H288" t="s">
        <v>59</v>
      </c>
      <c r="J288" t="s">
        <v>773</v>
      </c>
      <c r="L288" s="10" t="s">
        <v>183</v>
      </c>
      <c r="M288" s="8" t="s">
        <v>766</v>
      </c>
      <c r="N288" s="8"/>
      <c r="O288" s="8"/>
    </row>
    <row r="289" spans="1:15">
      <c r="A289" t="s">
        <v>774</v>
      </c>
      <c r="D289" t="s">
        <v>755</v>
      </c>
      <c r="E289" t="s">
        <v>756</v>
      </c>
      <c r="F289" t="s">
        <v>775</v>
      </c>
      <c r="G289" t="s">
        <v>58</v>
      </c>
      <c r="H289" t="s">
        <v>32</v>
      </c>
      <c r="J289" t="s">
        <v>776</v>
      </c>
      <c r="L289" s="10" t="s">
        <v>183</v>
      </c>
      <c r="M289" s="8" t="s">
        <v>766</v>
      </c>
      <c r="N289" s="8"/>
      <c r="O289" s="8"/>
    </row>
    <row r="290" spans="1:15">
      <c r="A290" t="s">
        <v>777</v>
      </c>
      <c r="D290" t="s">
        <v>755</v>
      </c>
      <c r="E290" t="s">
        <v>756</v>
      </c>
      <c r="F290" t="s">
        <v>778</v>
      </c>
      <c r="G290" t="s">
        <v>31</v>
      </c>
      <c r="H290" t="s">
        <v>32</v>
      </c>
      <c r="I290" t="s">
        <v>779</v>
      </c>
      <c r="J290" t="s">
        <v>780</v>
      </c>
      <c r="L290" s="10" t="s">
        <v>183</v>
      </c>
      <c r="M290" s="8" t="s">
        <v>766</v>
      </c>
      <c r="N290" s="8"/>
      <c r="O290" s="8"/>
    </row>
    <row r="291" spans="1:15">
      <c r="A291" t="s">
        <v>777</v>
      </c>
      <c r="D291" t="s">
        <v>755</v>
      </c>
      <c r="E291" t="s">
        <v>756</v>
      </c>
      <c r="F291" t="s">
        <v>781</v>
      </c>
      <c r="G291" t="s">
        <v>782</v>
      </c>
      <c r="H291" t="s">
        <v>83</v>
      </c>
      <c r="L291" s="10" t="s">
        <v>183</v>
      </c>
      <c r="M291" s="8" t="s">
        <v>667</v>
      </c>
      <c r="N291" s="8"/>
      <c r="O291" s="8"/>
    </row>
    <row r="292" spans="1:15">
      <c r="A292" t="s">
        <v>783</v>
      </c>
      <c r="D292" t="s">
        <v>755</v>
      </c>
      <c r="E292" t="s">
        <v>756</v>
      </c>
      <c r="F292" t="s">
        <v>784</v>
      </c>
      <c r="G292" t="s">
        <v>82</v>
      </c>
      <c r="H292" t="s">
        <v>59</v>
      </c>
      <c r="L292" s="10" t="s">
        <v>183</v>
      </c>
      <c r="M292" s="8" t="s">
        <v>785</v>
      </c>
      <c r="N292" s="8"/>
      <c r="O292" s="8"/>
    </row>
    <row r="293" spans="1:15">
      <c r="A293" t="s">
        <v>786</v>
      </c>
      <c r="D293" t="s">
        <v>755</v>
      </c>
      <c r="E293" t="s">
        <v>756</v>
      </c>
      <c r="F293" t="s">
        <v>787</v>
      </c>
      <c r="G293" t="s">
        <v>82</v>
      </c>
      <c r="H293" t="s">
        <v>59</v>
      </c>
      <c r="L293" s="10" t="s">
        <v>183</v>
      </c>
      <c r="M293" s="8" t="s">
        <v>785</v>
      </c>
      <c r="N293" s="8"/>
      <c r="O293" s="8"/>
    </row>
    <row r="294" spans="1:15">
      <c r="A294" t="s">
        <v>788</v>
      </c>
      <c r="D294" t="s">
        <v>755</v>
      </c>
      <c r="E294" t="s">
        <v>756</v>
      </c>
      <c r="F294" t="s">
        <v>789</v>
      </c>
      <c r="G294" t="s">
        <v>58</v>
      </c>
      <c r="H294" t="s">
        <v>59</v>
      </c>
      <c r="L294" s="10" t="s">
        <v>183</v>
      </c>
      <c r="M294" s="8" t="s">
        <v>785</v>
      </c>
      <c r="N294" s="8"/>
      <c r="O294" s="8"/>
    </row>
    <row r="295" spans="1:15">
      <c r="A295" t="s">
        <v>790</v>
      </c>
      <c r="D295" t="s">
        <v>755</v>
      </c>
      <c r="E295" t="s">
        <v>756</v>
      </c>
      <c r="F295" t="s">
        <v>791</v>
      </c>
      <c r="G295" t="s">
        <v>82</v>
      </c>
      <c r="H295" t="s">
        <v>59</v>
      </c>
      <c r="L295" s="10" t="s">
        <v>183</v>
      </c>
      <c r="M295" s="8" t="s">
        <v>766</v>
      </c>
      <c r="N295" s="8"/>
      <c r="O295" s="8"/>
    </row>
    <row r="296" spans="1:15">
      <c r="A296" t="s">
        <v>792</v>
      </c>
      <c r="D296" t="s">
        <v>755</v>
      </c>
      <c r="E296" t="s">
        <v>756</v>
      </c>
      <c r="F296" t="s">
        <v>793</v>
      </c>
      <c r="G296" t="s">
        <v>782</v>
      </c>
      <c r="H296" t="s">
        <v>83</v>
      </c>
      <c r="L296" s="10" t="s">
        <v>183</v>
      </c>
      <c r="M296" s="8" t="s">
        <v>667</v>
      </c>
      <c r="N296" s="8"/>
      <c r="O296" s="8"/>
    </row>
    <row r="297" spans="1:15">
      <c r="A297" t="s">
        <v>794</v>
      </c>
      <c r="D297" t="s">
        <v>755</v>
      </c>
      <c r="E297" t="s">
        <v>756</v>
      </c>
      <c r="F297" t="s">
        <v>795</v>
      </c>
      <c r="G297" t="s">
        <v>58</v>
      </c>
      <c r="H297" t="s">
        <v>59</v>
      </c>
      <c r="L297" s="7" t="s">
        <v>17</v>
      </c>
      <c r="M297" s="8" t="s">
        <v>407</v>
      </c>
      <c r="N297" s="8"/>
      <c r="O297" s="8"/>
    </row>
    <row r="298" spans="1:15">
      <c r="A298" t="s">
        <v>796</v>
      </c>
      <c r="D298" t="s">
        <v>755</v>
      </c>
      <c r="E298" t="s">
        <v>756</v>
      </c>
      <c r="F298" t="s">
        <v>797</v>
      </c>
      <c r="G298" t="s">
        <v>31</v>
      </c>
      <c r="H298" t="s">
        <v>32</v>
      </c>
      <c r="I298" t="s">
        <v>798</v>
      </c>
      <c r="L298" s="10" t="s">
        <v>183</v>
      </c>
      <c r="M298" s="8" t="s">
        <v>766</v>
      </c>
      <c r="N298" s="8"/>
      <c r="O298" s="8"/>
    </row>
    <row r="299" spans="1:15">
      <c r="A299" t="s">
        <v>799</v>
      </c>
      <c r="D299" t="s">
        <v>755</v>
      </c>
      <c r="E299" t="s">
        <v>756</v>
      </c>
      <c r="F299" t="s">
        <v>800</v>
      </c>
      <c r="G299" t="s">
        <v>31</v>
      </c>
      <c r="H299" t="s">
        <v>32</v>
      </c>
      <c r="I299" t="s">
        <v>798</v>
      </c>
      <c r="L299" s="10" t="s">
        <v>183</v>
      </c>
      <c r="M299" s="8" t="s">
        <v>766</v>
      </c>
      <c r="N299" s="8"/>
      <c r="O299" s="8"/>
    </row>
    <row r="300" spans="1:15">
      <c r="A300" t="s">
        <v>801</v>
      </c>
      <c r="D300" t="s">
        <v>755</v>
      </c>
      <c r="E300" t="s">
        <v>756</v>
      </c>
      <c r="F300" t="s">
        <v>802</v>
      </c>
      <c r="G300" t="s">
        <v>58</v>
      </c>
      <c r="H300" t="s">
        <v>59</v>
      </c>
      <c r="L300" s="10" t="s">
        <v>183</v>
      </c>
      <c r="M300" s="8" t="s">
        <v>766</v>
      </c>
      <c r="N300" s="8"/>
      <c r="O300" s="8"/>
    </row>
    <row r="301" spans="1:15">
      <c r="A301" t="s">
        <v>803</v>
      </c>
      <c r="D301" t="s">
        <v>755</v>
      </c>
      <c r="E301" t="s">
        <v>756</v>
      </c>
      <c r="F301" t="s">
        <v>804</v>
      </c>
      <c r="G301" t="s">
        <v>31</v>
      </c>
      <c r="H301" t="s">
        <v>32</v>
      </c>
      <c r="I301" t="s">
        <v>805</v>
      </c>
      <c r="L301" s="10" t="s">
        <v>183</v>
      </c>
      <c r="M301" s="8" t="s">
        <v>806</v>
      </c>
      <c r="N301" s="8"/>
      <c r="O301" s="8"/>
    </row>
    <row r="302" spans="1:15">
      <c r="A302" t="s">
        <v>807</v>
      </c>
      <c r="D302" t="s">
        <v>755</v>
      </c>
      <c r="E302" t="s">
        <v>756</v>
      </c>
      <c r="F302" t="s">
        <v>808</v>
      </c>
      <c r="G302" t="s">
        <v>31</v>
      </c>
      <c r="H302" t="s">
        <v>32</v>
      </c>
      <c r="I302" t="s">
        <v>809</v>
      </c>
      <c r="L302" s="10" t="s">
        <v>183</v>
      </c>
      <c r="M302" s="8" t="s">
        <v>810</v>
      </c>
      <c r="N302" s="8"/>
      <c r="O302" s="8"/>
    </row>
    <row r="303" spans="1:15">
      <c r="A303" t="s">
        <v>811</v>
      </c>
      <c r="D303" t="s">
        <v>755</v>
      </c>
      <c r="E303" t="s">
        <v>756</v>
      </c>
      <c r="F303" t="s">
        <v>812</v>
      </c>
      <c r="G303" t="s">
        <v>31</v>
      </c>
      <c r="H303" t="s">
        <v>32</v>
      </c>
      <c r="I303" t="s">
        <v>813</v>
      </c>
      <c r="L303" s="10" t="s">
        <v>183</v>
      </c>
      <c r="M303" s="8" t="s">
        <v>810</v>
      </c>
      <c r="N303" s="8"/>
      <c r="O303" s="8"/>
    </row>
    <row r="304" spans="1:15">
      <c r="A304" t="s">
        <v>814</v>
      </c>
      <c r="D304" t="s">
        <v>755</v>
      </c>
      <c r="E304" t="s">
        <v>756</v>
      </c>
      <c r="F304" t="s">
        <v>815</v>
      </c>
      <c r="G304" t="s">
        <v>31</v>
      </c>
      <c r="H304" t="s">
        <v>32</v>
      </c>
      <c r="I304" t="s">
        <v>816</v>
      </c>
      <c r="L304" s="10" t="s">
        <v>183</v>
      </c>
      <c r="M304" s="8" t="s">
        <v>188</v>
      </c>
      <c r="N304" s="8"/>
      <c r="O304" s="8"/>
    </row>
    <row r="305" spans="1:15" ht="15" customHeight="1">
      <c r="A305" s="13" t="s">
        <v>817</v>
      </c>
      <c r="B305" s="13"/>
      <c r="C305" s="13"/>
      <c r="D305" s="13" t="s">
        <v>818</v>
      </c>
      <c r="E305" s="13" t="s">
        <v>819</v>
      </c>
      <c r="F305" s="13" t="s">
        <v>820</v>
      </c>
      <c r="G305" t="s">
        <v>31</v>
      </c>
      <c r="H305" t="s">
        <v>32</v>
      </c>
      <c r="I305" t="s">
        <v>798</v>
      </c>
      <c r="L305" s="10" t="s">
        <v>183</v>
      </c>
      <c r="M305" s="8" t="s">
        <v>806</v>
      </c>
      <c r="N305" s="8"/>
      <c r="O305" s="8"/>
    </row>
    <row r="306" spans="1:15" ht="15" customHeight="1">
      <c r="A306" s="13" t="s">
        <v>821</v>
      </c>
      <c r="B306" s="13"/>
      <c r="C306" s="13"/>
      <c r="D306" s="13" t="s">
        <v>818</v>
      </c>
      <c r="E306" s="13" t="s">
        <v>819</v>
      </c>
      <c r="F306" s="13" t="s">
        <v>822</v>
      </c>
      <c r="G306" s="13" t="s">
        <v>82</v>
      </c>
      <c r="H306" s="13" t="s">
        <v>83</v>
      </c>
      <c r="L306" s="10" t="s">
        <v>183</v>
      </c>
      <c r="M306" s="8" t="s">
        <v>806</v>
      </c>
      <c r="N306" s="8"/>
      <c r="O306" s="8"/>
    </row>
    <row r="307" spans="1:15" ht="15" customHeight="1">
      <c r="A307" s="13" t="s">
        <v>823</v>
      </c>
      <c r="B307" s="13"/>
      <c r="C307" s="13"/>
      <c r="D307" s="13" t="s">
        <v>818</v>
      </c>
      <c r="E307" s="13" t="s">
        <v>819</v>
      </c>
      <c r="F307" s="13" t="s">
        <v>824</v>
      </c>
      <c r="G307" s="13" t="s">
        <v>82</v>
      </c>
      <c r="H307" s="13" t="s">
        <v>83</v>
      </c>
      <c r="L307" s="10" t="s">
        <v>183</v>
      </c>
      <c r="M307" s="8" t="s">
        <v>806</v>
      </c>
      <c r="N307" s="8"/>
      <c r="O307" s="8"/>
    </row>
    <row r="308" spans="1:15" ht="15" customHeight="1">
      <c r="A308" s="13" t="s">
        <v>825</v>
      </c>
      <c r="B308" s="13"/>
      <c r="C308" s="13"/>
      <c r="D308" s="13" t="s">
        <v>818</v>
      </c>
      <c r="E308" s="13" t="s">
        <v>819</v>
      </c>
      <c r="F308" s="13" t="s">
        <v>826</v>
      </c>
      <c r="G308" s="13" t="s">
        <v>82</v>
      </c>
      <c r="H308" s="13" t="s">
        <v>83</v>
      </c>
      <c r="L308" s="10" t="s">
        <v>183</v>
      </c>
      <c r="M308" s="8" t="s">
        <v>806</v>
      </c>
      <c r="N308" s="8"/>
      <c r="O308" s="8"/>
    </row>
    <row r="309" spans="1:15" ht="15" customHeight="1">
      <c r="A309" s="13" t="s">
        <v>827</v>
      </c>
      <c r="B309" s="13"/>
      <c r="C309" s="13"/>
      <c r="D309" s="13" t="s">
        <v>818</v>
      </c>
      <c r="E309" s="13" t="s">
        <v>819</v>
      </c>
      <c r="F309" s="13" t="s">
        <v>828</v>
      </c>
      <c r="G309" s="13" t="s">
        <v>82</v>
      </c>
      <c r="H309" s="13" t="s">
        <v>83</v>
      </c>
      <c r="J309" t="s">
        <v>829</v>
      </c>
      <c r="L309" s="10" t="s">
        <v>183</v>
      </c>
      <c r="M309" s="8" t="s">
        <v>830</v>
      </c>
      <c r="N309" s="8"/>
      <c r="O309" s="8"/>
    </row>
    <row r="310" spans="1:15" ht="15" customHeight="1">
      <c r="A310" s="13" t="s">
        <v>831</v>
      </c>
      <c r="B310" s="13"/>
      <c r="C310" s="13"/>
      <c r="D310" s="13" t="s">
        <v>818</v>
      </c>
      <c r="E310" s="13" t="s">
        <v>819</v>
      </c>
      <c r="F310" s="13" t="s">
        <v>832</v>
      </c>
      <c r="G310" s="13" t="s">
        <v>82</v>
      </c>
      <c r="H310" s="13" t="s">
        <v>83</v>
      </c>
      <c r="J310" t="s">
        <v>833</v>
      </c>
      <c r="L310" s="10" t="s">
        <v>183</v>
      </c>
      <c r="M310" s="8" t="s">
        <v>806</v>
      </c>
      <c r="N310" s="8"/>
      <c r="O310" s="8"/>
    </row>
    <row r="311" spans="1:15" ht="26.45">
      <c r="A311" t="s">
        <v>834</v>
      </c>
      <c r="D311" t="s">
        <v>818</v>
      </c>
      <c r="E311" t="s">
        <v>819</v>
      </c>
      <c r="F311" t="s">
        <v>835</v>
      </c>
      <c r="G311" t="s">
        <v>31</v>
      </c>
      <c r="H311" t="s">
        <v>32</v>
      </c>
      <c r="I311" t="s">
        <v>836</v>
      </c>
      <c r="J311" t="s">
        <v>837</v>
      </c>
      <c r="L311" s="10" t="s">
        <v>183</v>
      </c>
      <c r="M311" s="8" t="s">
        <v>830</v>
      </c>
      <c r="N311" s="8"/>
      <c r="O311" s="8"/>
    </row>
    <row r="312" spans="1:15" ht="26.45">
      <c r="A312" t="s">
        <v>838</v>
      </c>
      <c r="D312" t="s">
        <v>818</v>
      </c>
      <c r="E312" t="s">
        <v>819</v>
      </c>
      <c r="F312" t="s">
        <v>839</v>
      </c>
      <c r="G312" t="s">
        <v>31</v>
      </c>
      <c r="H312" t="s">
        <v>32</v>
      </c>
      <c r="I312" t="s">
        <v>840</v>
      </c>
      <c r="J312" t="s">
        <v>841</v>
      </c>
      <c r="L312" s="10" t="s">
        <v>183</v>
      </c>
      <c r="M312" s="8" t="s">
        <v>830</v>
      </c>
      <c r="N312" s="8"/>
      <c r="O312" s="8"/>
    </row>
    <row r="313" spans="1:15">
      <c r="A313" t="s">
        <v>842</v>
      </c>
      <c r="D313" t="s">
        <v>818</v>
      </c>
      <c r="E313" t="s">
        <v>819</v>
      </c>
      <c r="F313" t="s">
        <v>843</v>
      </c>
      <c r="G313" t="s">
        <v>31</v>
      </c>
      <c r="H313" t="s">
        <v>32</v>
      </c>
      <c r="I313" t="s">
        <v>844</v>
      </c>
      <c r="J313" t="s">
        <v>845</v>
      </c>
      <c r="L313" s="7" t="s">
        <v>17</v>
      </c>
      <c r="M313" s="8" t="s">
        <v>108</v>
      </c>
      <c r="N313" s="8"/>
      <c r="O313" s="8"/>
    </row>
    <row r="314" spans="1:15">
      <c r="A314" t="s">
        <v>846</v>
      </c>
      <c r="D314" t="s">
        <v>818</v>
      </c>
      <c r="E314" t="s">
        <v>819</v>
      </c>
      <c r="F314" t="s">
        <v>847</v>
      </c>
      <c r="G314" t="s">
        <v>31</v>
      </c>
      <c r="H314" t="s">
        <v>32</v>
      </c>
      <c r="I314" t="s">
        <v>844</v>
      </c>
      <c r="J314" t="s">
        <v>848</v>
      </c>
      <c r="L314" s="7" t="s">
        <v>17</v>
      </c>
      <c r="M314" s="8" t="s">
        <v>108</v>
      </c>
      <c r="N314" s="8"/>
      <c r="O314" s="8"/>
    </row>
    <row r="315" spans="1:15">
      <c r="A315" t="s">
        <v>849</v>
      </c>
      <c r="D315" t="s">
        <v>818</v>
      </c>
      <c r="E315" t="s">
        <v>819</v>
      </c>
      <c r="F315" t="s">
        <v>850</v>
      </c>
      <c r="G315" t="s">
        <v>31</v>
      </c>
      <c r="H315" t="s">
        <v>32</v>
      </c>
      <c r="I315" t="s">
        <v>844</v>
      </c>
      <c r="L315" s="7" t="s">
        <v>17</v>
      </c>
      <c r="M315" s="8" t="s">
        <v>108</v>
      </c>
      <c r="N315" s="8"/>
      <c r="O315" s="8"/>
    </row>
    <row r="316" spans="1:15">
      <c r="A316" t="s">
        <v>851</v>
      </c>
      <c r="D316" t="s">
        <v>818</v>
      </c>
      <c r="E316" t="s">
        <v>819</v>
      </c>
      <c r="F316" t="s">
        <v>852</v>
      </c>
      <c r="G316" t="s">
        <v>31</v>
      </c>
      <c r="H316" t="s">
        <v>32</v>
      </c>
      <c r="I316" t="s">
        <v>844</v>
      </c>
      <c r="L316" s="7" t="s">
        <v>17</v>
      </c>
      <c r="M316" s="8" t="s">
        <v>108</v>
      </c>
      <c r="N316" s="8"/>
      <c r="O316" s="8"/>
    </row>
    <row r="317" spans="1:15">
      <c r="A317" t="s">
        <v>853</v>
      </c>
      <c r="D317" t="s">
        <v>818</v>
      </c>
      <c r="E317" t="s">
        <v>819</v>
      </c>
      <c r="F317" t="s">
        <v>854</v>
      </c>
      <c r="G317" t="s">
        <v>31</v>
      </c>
      <c r="H317" t="s">
        <v>32</v>
      </c>
      <c r="I317" t="s">
        <v>844</v>
      </c>
      <c r="L317" s="7" t="s">
        <v>17</v>
      </c>
      <c r="M317" s="8" t="s">
        <v>108</v>
      </c>
      <c r="N317" s="8"/>
      <c r="O317" s="8"/>
    </row>
    <row r="318" spans="1:15">
      <c r="A318" t="s">
        <v>855</v>
      </c>
      <c r="D318" t="s">
        <v>818</v>
      </c>
      <c r="E318" t="s">
        <v>819</v>
      </c>
      <c r="F318" t="s">
        <v>856</v>
      </c>
      <c r="G318" t="s">
        <v>31</v>
      </c>
      <c r="H318" t="s">
        <v>32</v>
      </c>
      <c r="I318" t="s">
        <v>844</v>
      </c>
      <c r="L318" s="7" t="s">
        <v>17</v>
      </c>
      <c r="M318" s="8" t="s">
        <v>108</v>
      </c>
      <c r="N318" s="8"/>
      <c r="O318" s="8"/>
    </row>
    <row r="319" spans="1:15">
      <c r="A319" t="s">
        <v>857</v>
      </c>
      <c r="D319" t="s">
        <v>818</v>
      </c>
      <c r="E319" t="s">
        <v>819</v>
      </c>
      <c r="F319" t="s">
        <v>858</v>
      </c>
      <c r="G319" t="s">
        <v>31</v>
      </c>
      <c r="H319" t="s">
        <v>32</v>
      </c>
      <c r="I319" t="s">
        <v>844</v>
      </c>
      <c r="L319" s="7" t="s">
        <v>17</v>
      </c>
      <c r="M319" s="8" t="s">
        <v>108</v>
      </c>
      <c r="N319" s="8"/>
      <c r="O319" s="8"/>
    </row>
    <row r="320" spans="1:15">
      <c r="A320" t="s">
        <v>859</v>
      </c>
      <c r="D320" t="s">
        <v>818</v>
      </c>
      <c r="E320" t="s">
        <v>819</v>
      </c>
      <c r="F320" t="s">
        <v>860</v>
      </c>
      <c r="G320" t="s">
        <v>31</v>
      </c>
      <c r="H320" t="s">
        <v>32</v>
      </c>
      <c r="I320" t="s">
        <v>844</v>
      </c>
      <c r="L320" s="10" t="s">
        <v>183</v>
      </c>
      <c r="M320" s="8" t="s">
        <v>861</v>
      </c>
      <c r="N320" s="8"/>
      <c r="O320" s="8"/>
    </row>
    <row r="321" spans="1:15">
      <c r="A321" t="s">
        <v>862</v>
      </c>
      <c r="D321" t="s">
        <v>818</v>
      </c>
      <c r="E321" t="s">
        <v>819</v>
      </c>
      <c r="F321" t="s">
        <v>863</v>
      </c>
      <c r="G321" t="s">
        <v>31</v>
      </c>
      <c r="H321" t="s">
        <v>32</v>
      </c>
      <c r="I321" t="s">
        <v>844</v>
      </c>
      <c r="L321" s="7" t="s">
        <v>17</v>
      </c>
      <c r="M321" s="8" t="s">
        <v>108</v>
      </c>
      <c r="N321" s="8"/>
      <c r="O321" s="8"/>
    </row>
    <row r="322" spans="1:15">
      <c r="A322" t="s">
        <v>864</v>
      </c>
      <c r="D322" t="s">
        <v>818</v>
      </c>
      <c r="E322" t="s">
        <v>819</v>
      </c>
      <c r="F322" t="s">
        <v>865</v>
      </c>
      <c r="G322" t="s">
        <v>31</v>
      </c>
      <c r="H322" t="s">
        <v>32</v>
      </c>
      <c r="I322" t="s">
        <v>844</v>
      </c>
      <c r="L322" s="7" t="s">
        <v>17</v>
      </c>
      <c r="M322" s="8" t="s">
        <v>108</v>
      </c>
      <c r="N322" s="8"/>
      <c r="O322" s="8"/>
    </row>
    <row r="323" spans="1:15">
      <c r="A323" t="s">
        <v>866</v>
      </c>
      <c r="D323" t="s">
        <v>818</v>
      </c>
      <c r="E323" t="s">
        <v>819</v>
      </c>
      <c r="F323" t="s">
        <v>867</v>
      </c>
      <c r="G323" t="s">
        <v>31</v>
      </c>
      <c r="H323" t="s">
        <v>32</v>
      </c>
      <c r="I323" t="s">
        <v>844</v>
      </c>
      <c r="L323" s="7" t="s">
        <v>17</v>
      </c>
      <c r="M323" s="8" t="s">
        <v>108</v>
      </c>
      <c r="N323" s="8"/>
      <c r="O323" s="8"/>
    </row>
    <row r="324" spans="1:15">
      <c r="A324" t="s">
        <v>868</v>
      </c>
      <c r="D324" t="s">
        <v>818</v>
      </c>
      <c r="E324" t="s">
        <v>819</v>
      </c>
      <c r="F324" t="s">
        <v>869</v>
      </c>
      <c r="G324" t="s">
        <v>31</v>
      </c>
      <c r="H324" t="s">
        <v>32</v>
      </c>
      <c r="I324" t="s">
        <v>844</v>
      </c>
      <c r="L324" s="7" t="s">
        <v>17</v>
      </c>
      <c r="M324" s="8" t="s">
        <v>108</v>
      </c>
      <c r="N324" s="8"/>
      <c r="O324" s="8"/>
    </row>
    <row r="325" spans="1:15" ht="26.45">
      <c r="A325" t="s">
        <v>870</v>
      </c>
      <c r="D325" t="s">
        <v>818</v>
      </c>
      <c r="E325" t="s">
        <v>819</v>
      </c>
      <c r="F325" t="s">
        <v>871</v>
      </c>
      <c r="G325" t="s">
        <v>58</v>
      </c>
      <c r="H325" t="s">
        <v>32</v>
      </c>
      <c r="L325" s="10" t="s">
        <v>183</v>
      </c>
      <c r="M325" s="8" t="s">
        <v>830</v>
      </c>
      <c r="N325" s="8"/>
      <c r="O325" s="8"/>
    </row>
    <row r="326" spans="1:15" ht="26.45">
      <c r="A326" t="s">
        <v>872</v>
      </c>
      <c r="D326" t="s">
        <v>818</v>
      </c>
      <c r="E326" t="s">
        <v>819</v>
      </c>
      <c r="F326" t="s">
        <v>873</v>
      </c>
      <c r="G326" t="s">
        <v>58</v>
      </c>
      <c r="H326" t="s">
        <v>32</v>
      </c>
      <c r="L326" s="10" t="s">
        <v>183</v>
      </c>
      <c r="M326" s="8" t="s">
        <v>830</v>
      </c>
      <c r="N326" s="8"/>
      <c r="O326" s="8"/>
    </row>
    <row r="327" spans="1:15" ht="26.45">
      <c r="A327" t="s">
        <v>874</v>
      </c>
      <c r="D327" t="s">
        <v>818</v>
      </c>
      <c r="E327" t="s">
        <v>819</v>
      </c>
      <c r="F327" t="s">
        <v>875</v>
      </c>
      <c r="G327" t="s">
        <v>58</v>
      </c>
      <c r="H327" t="s">
        <v>32</v>
      </c>
      <c r="L327" s="10" t="s">
        <v>183</v>
      </c>
      <c r="M327" s="8" t="s">
        <v>830</v>
      </c>
      <c r="N327" s="8"/>
      <c r="O327" s="8"/>
    </row>
    <row r="328" spans="1:15" ht="26.45">
      <c r="A328" t="s">
        <v>876</v>
      </c>
      <c r="D328" t="s">
        <v>818</v>
      </c>
      <c r="E328" t="s">
        <v>819</v>
      </c>
      <c r="F328" t="s">
        <v>877</v>
      </c>
      <c r="G328" t="s">
        <v>58</v>
      </c>
      <c r="H328" t="s">
        <v>32</v>
      </c>
      <c r="L328" s="10" t="s">
        <v>183</v>
      </c>
      <c r="M328" s="8" t="s">
        <v>830</v>
      </c>
      <c r="N328" s="8"/>
      <c r="O328" s="8"/>
    </row>
    <row r="329" spans="1:15" ht="26.45">
      <c r="A329" t="s">
        <v>878</v>
      </c>
      <c r="D329" t="s">
        <v>818</v>
      </c>
      <c r="E329" t="s">
        <v>819</v>
      </c>
      <c r="F329" t="s">
        <v>879</v>
      </c>
      <c r="G329" t="s">
        <v>58</v>
      </c>
      <c r="H329" t="s">
        <v>32</v>
      </c>
      <c r="L329" s="10" t="s">
        <v>183</v>
      </c>
      <c r="M329" s="8" t="s">
        <v>830</v>
      </c>
      <c r="N329" s="8"/>
      <c r="O329" s="8"/>
    </row>
    <row r="330" spans="1:15" ht="26.45">
      <c r="A330" t="s">
        <v>880</v>
      </c>
      <c r="D330" t="s">
        <v>818</v>
      </c>
      <c r="E330" t="s">
        <v>819</v>
      </c>
      <c r="F330" t="s">
        <v>881</v>
      </c>
      <c r="G330" t="s">
        <v>58</v>
      </c>
      <c r="H330" t="s">
        <v>32</v>
      </c>
      <c r="L330" s="10" t="s">
        <v>183</v>
      </c>
      <c r="M330" s="8" t="s">
        <v>830</v>
      </c>
      <c r="N330" s="8"/>
      <c r="O330" s="8"/>
    </row>
    <row r="331" spans="1:15" ht="26.45">
      <c r="A331" t="s">
        <v>882</v>
      </c>
      <c r="D331" t="s">
        <v>818</v>
      </c>
      <c r="E331" t="s">
        <v>819</v>
      </c>
      <c r="F331" t="s">
        <v>883</v>
      </c>
      <c r="G331" t="s">
        <v>58</v>
      </c>
      <c r="H331" t="s">
        <v>32</v>
      </c>
      <c r="L331" s="10" t="s">
        <v>183</v>
      </c>
      <c r="M331" s="8" t="s">
        <v>830</v>
      </c>
      <c r="N331" s="8"/>
      <c r="O331" s="8"/>
    </row>
    <row r="332" spans="1:15">
      <c r="A332" t="s">
        <v>884</v>
      </c>
      <c r="D332" t="s">
        <v>818</v>
      </c>
      <c r="E332" t="s">
        <v>819</v>
      </c>
      <c r="F332" t="s">
        <v>885</v>
      </c>
      <c r="G332" t="s">
        <v>58</v>
      </c>
      <c r="H332" t="s">
        <v>32</v>
      </c>
      <c r="L332" s="10" t="s">
        <v>183</v>
      </c>
      <c r="M332" s="8" t="s">
        <v>861</v>
      </c>
      <c r="N332" s="8"/>
      <c r="O332" s="8"/>
    </row>
    <row r="333" spans="1:15" ht="26.45">
      <c r="A333" t="s">
        <v>886</v>
      </c>
      <c r="D333" t="s">
        <v>818</v>
      </c>
      <c r="E333" t="s">
        <v>819</v>
      </c>
      <c r="F333" t="s">
        <v>887</v>
      </c>
      <c r="G333" t="s">
        <v>58</v>
      </c>
      <c r="H333" t="s">
        <v>32</v>
      </c>
      <c r="L333" s="10" t="s">
        <v>183</v>
      </c>
      <c r="M333" s="8" t="s">
        <v>830</v>
      </c>
      <c r="N333" s="8"/>
      <c r="O333" s="8"/>
    </row>
    <row r="334" spans="1:15" ht="26.45">
      <c r="A334" t="s">
        <v>888</v>
      </c>
      <c r="D334" t="s">
        <v>818</v>
      </c>
      <c r="E334" t="s">
        <v>819</v>
      </c>
      <c r="F334" t="s">
        <v>889</v>
      </c>
      <c r="G334" t="s">
        <v>58</v>
      </c>
      <c r="H334" t="s">
        <v>32</v>
      </c>
      <c r="L334" s="10" t="s">
        <v>183</v>
      </c>
      <c r="M334" s="8" t="s">
        <v>830</v>
      </c>
      <c r="N334" s="8"/>
      <c r="O334" s="8"/>
    </row>
    <row r="335" spans="1:15" ht="26.45">
      <c r="A335" t="s">
        <v>890</v>
      </c>
      <c r="D335" t="s">
        <v>818</v>
      </c>
      <c r="E335" t="s">
        <v>819</v>
      </c>
      <c r="F335" t="s">
        <v>891</v>
      </c>
      <c r="G335" t="s">
        <v>58</v>
      </c>
      <c r="H335" t="s">
        <v>32</v>
      </c>
      <c r="L335" s="10" t="s">
        <v>183</v>
      </c>
      <c r="M335" s="8" t="s">
        <v>830</v>
      </c>
      <c r="N335" s="8"/>
      <c r="O335" s="8"/>
    </row>
    <row r="336" spans="1:15" ht="26.45">
      <c r="A336" t="s">
        <v>892</v>
      </c>
      <c r="D336" t="s">
        <v>818</v>
      </c>
      <c r="E336" t="s">
        <v>819</v>
      </c>
      <c r="F336" t="s">
        <v>893</v>
      </c>
      <c r="G336" t="s">
        <v>58</v>
      </c>
      <c r="H336" t="s">
        <v>32</v>
      </c>
      <c r="L336" s="10" t="s">
        <v>183</v>
      </c>
      <c r="M336" s="8" t="s">
        <v>830</v>
      </c>
      <c r="N336" s="8"/>
      <c r="O336" s="8"/>
    </row>
    <row r="337" spans="1:15">
      <c r="A337" t="s">
        <v>894</v>
      </c>
      <c r="D337" t="s">
        <v>818</v>
      </c>
      <c r="E337" t="s">
        <v>819</v>
      </c>
      <c r="F337" t="s">
        <v>895</v>
      </c>
      <c r="G337" t="s">
        <v>31</v>
      </c>
      <c r="H337" t="s">
        <v>32</v>
      </c>
      <c r="I337" t="s">
        <v>896</v>
      </c>
      <c r="J337" t="s">
        <v>897</v>
      </c>
      <c r="L337" s="7" t="s">
        <v>17</v>
      </c>
      <c r="M337" s="8" t="s">
        <v>438</v>
      </c>
      <c r="N337" s="8"/>
      <c r="O337" s="8"/>
    </row>
    <row r="338" spans="1:15">
      <c r="A338" t="s">
        <v>898</v>
      </c>
      <c r="D338" t="s">
        <v>818</v>
      </c>
      <c r="E338" t="s">
        <v>819</v>
      </c>
      <c r="F338" t="s">
        <v>899</v>
      </c>
      <c r="G338" t="s">
        <v>31</v>
      </c>
      <c r="H338" t="s">
        <v>32</v>
      </c>
      <c r="I338" t="s">
        <v>896</v>
      </c>
      <c r="J338" t="s">
        <v>897</v>
      </c>
      <c r="L338" s="7" t="s">
        <v>17</v>
      </c>
      <c r="M338" s="8" t="s">
        <v>438</v>
      </c>
      <c r="N338" s="8"/>
      <c r="O338" s="8"/>
    </row>
    <row r="339" spans="1:15">
      <c r="A339" t="s">
        <v>900</v>
      </c>
      <c r="D339" t="s">
        <v>818</v>
      </c>
      <c r="E339" t="s">
        <v>819</v>
      </c>
      <c r="F339" t="s">
        <v>901</v>
      </c>
      <c r="G339" t="s">
        <v>31</v>
      </c>
      <c r="H339" t="s">
        <v>32</v>
      </c>
      <c r="I339" t="s">
        <v>896</v>
      </c>
      <c r="L339" s="7" t="s">
        <v>17</v>
      </c>
      <c r="M339" s="8" t="s">
        <v>438</v>
      </c>
      <c r="N339" s="8"/>
      <c r="O339" s="8"/>
    </row>
    <row r="340" spans="1:15">
      <c r="A340" t="s">
        <v>902</v>
      </c>
      <c r="D340" t="s">
        <v>818</v>
      </c>
      <c r="E340" t="s">
        <v>819</v>
      </c>
      <c r="F340" t="s">
        <v>903</v>
      </c>
      <c r="G340" t="s">
        <v>31</v>
      </c>
      <c r="H340" t="s">
        <v>32</v>
      </c>
      <c r="I340" t="s">
        <v>896</v>
      </c>
      <c r="L340" s="7" t="s">
        <v>17</v>
      </c>
      <c r="M340" s="8" t="s">
        <v>438</v>
      </c>
      <c r="N340" s="8"/>
      <c r="O340" s="8"/>
    </row>
    <row r="341" spans="1:15">
      <c r="A341" t="s">
        <v>904</v>
      </c>
      <c r="D341" t="s">
        <v>818</v>
      </c>
      <c r="E341" t="s">
        <v>819</v>
      </c>
      <c r="F341" t="s">
        <v>905</v>
      </c>
      <c r="G341" t="s">
        <v>31</v>
      </c>
      <c r="H341" t="s">
        <v>32</v>
      </c>
      <c r="I341" t="s">
        <v>896</v>
      </c>
      <c r="L341" s="7" t="s">
        <v>17</v>
      </c>
      <c r="M341" s="8" t="s">
        <v>438</v>
      </c>
      <c r="N341" s="8"/>
      <c r="O341" s="8"/>
    </row>
    <row r="342" spans="1:15">
      <c r="A342" t="s">
        <v>906</v>
      </c>
      <c r="D342" t="s">
        <v>818</v>
      </c>
      <c r="E342" t="s">
        <v>819</v>
      </c>
      <c r="F342" t="s">
        <v>907</v>
      </c>
      <c r="G342" t="s">
        <v>31</v>
      </c>
      <c r="H342" t="s">
        <v>32</v>
      </c>
      <c r="I342" t="s">
        <v>896</v>
      </c>
      <c r="L342" s="7" t="s">
        <v>17</v>
      </c>
      <c r="M342" s="8" t="s">
        <v>438</v>
      </c>
      <c r="N342" s="8"/>
      <c r="O342" s="8"/>
    </row>
    <row r="343" spans="1:15">
      <c r="A343" t="s">
        <v>908</v>
      </c>
      <c r="D343" t="s">
        <v>818</v>
      </c>
      <c r="E343" t="s">
        <v>819</v>
      </c>
      <c r="F343" t="s">
        <v>909</v>
      </c>
      <c r="G343" t="s">
        <v>31</v>
      </c>
      <c r="H343" t="s">
        <v>32</v>
      </c>
      <c r="I343" t="s">
        <v>896</v>
      </c>
      <c r="L343" s="7" t="s">
        <v>17</v>
      </c>
      <c r="M343" s="8" t="s">
        <v>438</v>
      </c>
      <c r="N343" s="8"/>
      <c r="O343" s="8"/>
    </row>
    <row r="344" spans="1:15">
      <c r="A344" t="s">
        <v>910</v>
      </c>
      <c r="D344" t="s">
        <v>818</v>
      </c>
      <c r="E344" t="s">
        <v>819</v>
      </c>
      <c r="F344" t="s">
        <v>911</v>
      </c>
      <c r="G344" t="s">
        <v>31</v>
      </c>
      <c r="H344" t="s">
        <v>32</v>
      </c>
      <c r="I344" t="s">
        <v>896</v>
      </c>
      <c r="L344" s="7" t="s">
        <v>17</v>
      </c>
      <c r="M344" s="8" t="s">
        <v>438</v>
      </c>
      <c r="N344" s="8"/>
      <c r="O344" s="8"/>
    </row>
    <row r="345" spans="1:15">
      <c r="A345" t="s">
        <v>912</v>
      </c>
      <c r="D345" t="s">
        <v>818</v>
      </c>
      <c r="E345" t="s">
        <v>819</v>
      </c>
      <c r="F345" t="s">
        <v>913</v>
      </c>
      <c r="G345" t="s">
        <v>31</v>
      </c>
      <c r="H345" t="s">
        <v>32</v>
      </c>
      <c r="I345" t="s">
        <v>896</v>
      </c>
      <c r="L345" s="7" t="s">
        <v>17</v>
      </c>
      <c r="M345" s="8" t="s">
        <v>438</v>
      </c>
      <c r="N345" s="8"/>
      <c r="O345" s="8"/>
    </row>
    <row r="346" spans="1:15">
      <c r="A346" t="s">
        <v>914</v>
      </c>
      <c r="D346" t="s">
        <v>818</v>
      </c>
      <c r="E346" t="s">
        <v>819</v>
      </c>
      <c r="F346" t="s">
        <v>915</v>
      </c>
      <c r="G346" t="s">
        <v>31</v>
      </c>
      <c r="H346" t="s">
        <v>32</v>
      </c>
      <c r="I346" t="s">
        <v>916</v>
      </c>
      <c r="J346" t="s">
        <v>917</v>
      </c>
      <c r="L346" s="7" t="s">
        <v>17</v>
      </c>
      <c r="M346" s="8" t="s">
        <v>60</v>
      </c>
      <c r="N346" s="8"/>
      <c r="O346" s="8"/>
    </row>
    <row r="347" spans="1:15" ht="26.45">
      <c r="A347" t="s">
        <v>918</v>
      </c>
      <c r="D347" t="s">
        <v>818</v>
      </c>
      <c r="E347" t="s">
        <v>819</v>
      </c>
      <c r="F347" t="s">
        <v>919</v>
      </c>
      <c r="G347" t="s">
        <v>31</v>
      </c>
      <c r="H347" t="s">
        <v>32</v>
      </c>
      <c r="I347" t="s">
        <v>920</v>
      </c>
      <c r="J347" t="s">
        <v>917</v>
      </c>
      <c r="L347" s="10" t="s">
        <v>183</v>
      </c>
      <c r="M347" s="8" t="s">
        <v>830</v>
      </c>
      <c r="N347" s="8"/>
      <c r="O347" s="8"/>
    </row>
    <row r="348" spans="1:15" ht="26.45">
      <c r="A348" t="s">
        <v>921</v>
      </c>
      <c r="D348" t="s">
        <v>818</v>
      </c>
      <c r="E348" t="s">
        <v>819</v>
      </c>
      <c r="F348" t="s">
        <v>922</v>
      </c>
      <c r="G348" t="s">
        <v>31</v>
      </c>
      <c r="H348" t="s">
        <v>32</v>
      </c>
      <c r="I348" t="s">
        <v>920</v>
      </c>
      <c r="L348" s="10" t="s">
        <v>183</v>
      </c>
      <c r="M348" s="8" t="s">
        <v>830</v>
      </c>
      <c r="N348" s="8"/>
      <c r="O348" s="8"/>
    </row>
    <row r="349" spans="1:15" ht="26.45">
      <c r="A349" t="s">
        <v>923</v>
      </c>
      <c r="D349" t="s">
        <v>818</v>
      </c>
      <c r="E349" t="s">
        <v>819</v>
      </c>
      <c r="F349" t="s">
        <v>924</v>
      </c>
      <c r="G349" t="s">
        <v>31</v>
      </c>
      <c r="H349" t="s">
        <v>32</v>
      </c>
      <c r="I349" t="s">
        <v>920</v>
      </c>
      <c r="L349" s="10" t="s">
        <v>183</v>
      </c>
      <c r="M349" s="8" t="s">
        <v>830</v>
      </c>
      <c r="N349" s="8"/>
      <c r="O349" s="8"/>
    </row>
    <row r="350" spans="1:15" ht="26.45">
      <c r="A350" t="s">
        <v>925</v>
      </c>
      <c r="D350" t="s">
        <v>818</v>
      </c>
      <c r="E350" t="s">
        <v>819</v>
      </c>
      <c r="F350" t="s">
        <v>926</v>
      </c>
      <c r="G350" t="s">
        <v>31</v>
      </c>
      <c r="H350" t="s">
        <v>32</v>
      </c>
      <c r="I350" t="s">
        <v>920</v>
      </c>
      <c r="L350" s="10" t="s">
        <v>183</v>
      </c>
      <c r="M350" s="8" t="s">
        <v>830</v>
      </c>
      <c r="N350" s="8"/>
      <c r="O350" s="8"/>
    </row>
    <row r="351" spans="1:15" ht="26.45">
      <c r="A351" t="s">
        <v>927</v>
      </c>
      <c r="D351" t="s">
        <v>818</v>
      </c>
      <c r="E351" t="s">
        <v>819</v>
      </c>
      <c r="F351" t="s">
        <v>928</v>
      </c>
      <c r="G351" t="s">
        <v>31</v>
      </c>
      <c r="H351" t="s">
        <v>32</v>
      </c>
      <c r="I351" t="s">
        <v>920</v>
      </c>
      <c r="L351" s="10" t="s">
        <v>183</v>
      </c>
      <c r="M351" s="8" t="s">
        <v>830</v>
      </c>
      <c r="N351" s="8"/>
      <c r="O351" s="8"/>
    </row>
    <row r="352" spans="1:15" ht="26.45">
      <c r="A352" t="s">
        <v>929</v>
      </c>
      <c r="D352" t="s">
        <v>818</v>
      </c>
      <c r="E352" t="s">
        <v>819</v>
      </c>
      <c r="F352" t="s">
        <v>930</v>
      </c>
      <c r="G352" t="s">
        <v>31</v>
      </c>
      <c r="H352" t="s">
        <v>32</v>
      </c>
      <c r="I352" t="s">
        <v>920</v>
      </c>
      <c r="L352" s="10" t="s">
        <v>183</v>
      </c>
      <c r="M352" s="8" t="s">
        <v>830</v>
      </c>
      <c r="N352" s="8"/>
      <c r="O352" s="8"/>
    </row>
    <row r="353" spans="1:15" ht="26.45">
      <c r="A353" t="s">
        <v>931</v>
      </c>
      <c r="D353" t="s">
        <v>818</v>
      </c>
      <c r="E353" t="s">
        <v>819</v>
      </c>
      <c r="F353" t="s">
        <v>932</v>
      </c>
      <c r="G353" t="s">
        <v>31</v>
      </c>
      <c r="H353" t="s">
        <v>32</v>
      </c>
      <c r="I353" t="s">
        <v>920</v>
      </c>
      <c r="L353" s="10" t="s">
        <v>183</v>
      </c>
      <c r="M353" s="8" t="s">
        <v>830</v>
      </c>
      <c r="N353" s="8"/>
      <c r="O353" s="8"/>
    </row>
    <row r="354" spans="1:15" ht="26.45">
      <c r="A354" t="s">
        <v>933</v>
      </c>
      <c r="D354" t="s">
        <v>818</v>
      </c>
      <c r="E354" t="s">
        <v>819</v>
      </c>
      <c r="F354" t="s">
        <v>934</v>
      </c>
      <c r="G354" t="s">
        <v>31</v>
      </c>
      <c r="H354" t="s">
        <v>32</v>
      </c>
      <c r="I354" t="s">
        <v>920</v>
      </c>
      <c r="L354" s="10" t="s">
        <v>183</v>
      </c>
      <c r="M354" s="8" t="s">
        <v>830</v>
      </c>
      <c r="N354" s="8"/>
      <c r="O354" s="8"/>
    </row>
    <row r="355" spans="1:15">
      <c r="A355" t="s">
        <v>935</v>
      </c>
      <c r="D355" t="s">
        <v>818</v>
      </c>
      <c r="E355" t="s">
        <v>819</v>
      </c>
      <c r="F355" t="s">
        <v>936</v>
      </c>
      <c r="G355" t="s">
        <v>58</v>
      </c>
      <c r="H355" t="s">
        <v>59</v>
      </c>
      <c r="L355" s="10" t="s">
        <v>183</v>
      </c>
      <c r="M355" s="8" t="s">
        <v>806</v>
      </c>
      <c r="N355" s="8"/>
      <c r="O355" s="8"/>
    </row>
    <row r="356" spans="1:15">
      <c r="A356" t="s">
        <v>937</v>
      </c>
      <c r="D356" t="s">
        <v>818</v>
      </c>
      <c r="E356" t="s">
        <v>819</v>
      </c>
      <c r="F356" t="s">
        <v>938</v>
      </c>
      <c r="G356" t="s">
        <v>58</v>
      </c>
      <c r="H356" t="s">
        <v>59</v>
      </c>
      <c r="L356" s="10" t="s">
        <v>183</v>
      </c>
      <c r="M356" s="8" t="s">
        <v>806</v>
      </c>
      <c r="N356" s="8"/>
      <c r="O356" s="8"/>
    </row>
    <row r="357" spans="1:15">
      <c r="A357" t="s">
        <v>939</v>
      </c>
      <c r="D357" t="s">
        <v>818</v>
      </c>
      <c r="E357" t="s">
        <v>819</v>
      </c>
      <c r="F357" t="s">
        <v>940</v>
      </c>
      <c r="G357" t="s">
        <v>58</v>
      </c>
      <c r="H357" t="s">
        <v>59</v>
      </c>
      <c r="L357" s="10" t="s">
        <v>183</v>
      </c>
      <c r="M357" s="8" t="s">
        <v>806</v>
      </c>
      <c r="N357" s="8"/>
      <c r="O357" s="8"/>
    </row>
    <row r="358" spans="1:15">
      <c r="A358" t="s">
        <v>941</v>
      </c>
      <c r="D358" t="s">
        <v>818</v>
      </c>
      <c r="E358" t="s">
        <v>819</v>
      </c>
      <c r="F358" t="s">
        <v>942</v>
      </c>
      <c r="G358" t="s">
        <v>58</v>
      </c>
      <c r="H358" t="s">
        <v>59</v>
      </c>
      <c r="L358" s="10" t="s">
        <v>183</v>
      </c>
      <c r="M358" s="8" t="s">
        <v>806</v>
      </c>
      <c r="N358" s="8"/>
      <c r="O358" s="8"/>
    </row>
    <row r="359" spans="1:15">
      <c r="A359" t="s">
        <v>943</v>
      </c>
      <c r="D359" t="s">
        <v>818</v>
      </c>
      <c r="E359" t="s">
        <v>819</v>
      </c>
      <c r="F359" t="s">
        <v>944</v>
      </c>
      <c r="G359" t="s">
        <v>58</v>
      </c>
      <c r="H359" t="s">
        <v>59</v>
      </c>
      <c r="L359" s="10" t="s">
        <v>183</v>
      </c>
      <c r="M359" s="8" t="s">
        <v>806</v>
      </c>
      <c r="N359" s="8"/>
      <c r="O359" s="8"/>
    </row>
    <row r="360" spans="1:15">
      <c r="A360" t="s">
        <v>945</v>
      </c>
      <c r="D360" t="s">
        <v>818</v>
      </c>
      <c r="E360" t="s">
        <v>819</v>
      </c>
      <c r="F360" t="s">
        <v>946</v>
      </c>
      <c r="G360" t="s">
        <v>58</v>
      </c>
      <c r="H360" t="s">
        <v>59</v>
      </c>
      <c r="L360" s="10" t="s">
        <v>183</v>
      </c>
      <c r="M360" s="8" t="s">
        <v>806</v>
      </c>
      <c r="N360" s="8"/>
      <c r="O360" s="8"/>
    </row>
    <row r="361" spans="1:15">
      <c r="A361" t="s">
        <v>947</v>
      </c>
      <c r="D361" t="s">
        <v>818</v>
      </c>
      <c r="E361" t="s">
        <v>819</v>
      </c>
      <c r="F361" t="s">
        <v>948</v>
      </c>
      <c r="G361" t="s">
        <v>58</v>
      </c>
      <c r="H361" t="s">
        <v>59</v>
      </c>
      <c r="L361" s="10" t="s">
        <v>183</v>
      </c>
      <c r="M361" s="8" t="s">
        <v>806</v>
      </c>
      <c r="N361" s="8"/>
      <c r="O361" s="8"/>
    </row>
    <row r="362" spans="1:15">
      <c r="A362" t="s">
        <v>949</v>
      </c>
      <c r="D362" t="s">
        <v>818</v>
      </c>
      <c r="E362" t="s">
        <v>819</v>
      </c>
      <c r="F362" t="s">
        <v>950</v>
      </c>
      <c r="G362" t="s">
        <v>58</v>
      </c>
      <c r="H362" t="s">
        <v>59</v>
      </c>
      <c r="L362" s="10" t="s">
        <v>183</v>
      </c>
      <c r="M362" s="8" t="s">
        <v>806</v>
      </c>
      <c r="N362" s="8"/>
      <c r="O362" s="8"/>
    </row>
    <row r="363" spans="1:15">
      <c r="A363" t="s">
        <v>951</v>
      </c>
      <c r="D363" t="s">
        <v>818</v>
      </c>
      <c r="E363" t="s">
        <v>819</v>
      </c>
      <c r="F363" t="s">
        <v>952</v>
      </c>
      <c r="G363" t="s">
        <v>58</v>
      </c>
      <c r="H363" t="s">
        <v>59</v>
      </c>
      <c r="L363" s="10" t="s">
        <v>183</v>
      </c>
      <c r="M363" s="8" t="s">
        <v>806</v>
      </c>
      <c r="N363" s="8"/>
      <c r="O363" s="8"/>
    </row>
    <row r="364" spans="1:15">
      <c r="A364" t="s">
        <v>953</v>
      </c>
      <c r="D364" t="s">
        <v>818</v>
      </c>
      <c r="E364" t="s">
        <v>819</v>
      </c>
      <c r="F364" t="s">
        <v>954</v>
      </c>
      <c r="G364" t="s">
        <v>58</v>
      </c>
      <c r="H364" t="s">
        <v>59</v>
      </c>
      <c r="L364" s="10" t="s">
        <v>183</v>
      </c>
      <c r="M364" s="8" t="s">
        <v>806</v>
      </c>
      <c r="N364" s="8"/>
      <c r="O364" s="8"/>
    </row>
    <row r="365" spans="1:15">
      <c r="A365" t="s">
        <v>955</v>
      </c>
      <c r="D365" t="s">
        <v>818</v>
      </c>
      <c r="E365" t="s">
        <v>819</v>
      </c>
      <c r="F365" t="s">
        <v>956</v>
      </c>
      <c r="G365" t="s">
        <v>58</v>
      </c>
      <c r="H365" t="s">
        <v>59</v>
      </c>
      <c r="L365" s="10" t="s">
        <v>183</v>
      </c>
      <c r="M365" s="8" t="s">
        <v>806</v>
      </c>
      <c r="N365" s="8"/>
      <c r="O365" s="8"/>
    </row>
    <row r="366" spans="1:15">
      <c r="A366" t="s">
        <v>957</v>
      </c>
      <c r="D366" t="s">
        <v>818</v>
      </c>
      <c r="E366" t="s">
        <v>819</v>
      </c>
      <c r="F366" t="s">
        <v>958</v>
      </c>
      <c r="G366" t="s">
        <v>58</v>
      </c>
      <c r="H366" t="s">
        <v>59</v>
      </c>
      <c r="L366" s="10" t="s">
        <v>183</v>
      </c>
      <c r="M366" s="8" t="s">
        <v>806</v>
      </c>
      <c r="N366" s="8"/>
      <c r="O366" s="8"/>
    </row>
    <row r="367" spans="1:15">
      <c r="A367" t="s">
        <v>959</v>
      </c>
      <c r="D367" t="s">
        <v>818</v>
      </c>
      <c r="E367" t="s">
        <v>819</v>
      </c>
      <c r="F367" t="s">
        <v>960</v>
      </c>
      <c r="G367" t="s">
        <v>58</v>
      </c>
      <c r="H367" t="s">
        <v>59</v>
      </c>
      <c r="L367" s="10" t="s">
        <v>183</v>
      </c>
      <c r="M367" s="8" t="s">
        <v>806</v>
      </c>
      <c r="N367" s="8"/>
      <c r="O367" s="8"/>
    </row>
    <row r="368" spans="1:15">
      <c r="A368" t="s">
        <v>961</v>
      </c>
      <c r="D368" t="s">
        <v>818</v>
      </c>
      <c r="E368" t="s">
        <v>819</v>
      </c>
      <c r="F368" t="s">
        <v>962</v>
      </c>
      <c r="G368" t="s">
        <v>58</v>
      </c>
      <c r="H368" t="s">
        <v>59</v>
      </c>
      <c r="L368" s="10" t="s">
        <v>183</v>
      </c>
      <c r="M368" s="8" t="s">
        <v>806</v>
      </c>
      <c r="N368" s="8"/>
      <c r="O368" s="8"/>
    </row>
    <row r="369" spans="1:15">
      <c r="A369" t="s">
        <v>963</v>
      </c>
      <c r="D369" t="s">
        <v>818</v>
      </c>
      <c r="E369" t="s">
        <v>819</v>
      </c>
      <c r="F369" t="s">
        <v>946</v>
      </c>
      <c r="G369" t="s">
        <v>58</v>
      </c>
      <c r="H369" t="s">
        <v>59</v>
      </c>
      <c r="L369" s="10" t="s">
        <v>183</v>
      </c>
      <c r="M369" s="8" t="s">
        <v>806</v>
      </c>
      <c r="N369" s="8"/>
      <c r="O369" s="8"/>
    </row>
    <row r="370" spans="1:15">
      <c r="A370" t="s">
        <v>964</v>
      </c>
      <c r="D370" t="s">
        <v>818</v>
      </c>
      <c r="E370" t="s">
        <v>819</v>
      </c>
      <c r="F370" t="s">
        <v>965</v>
      </c>
      <c r="G370" t="s">
        <v>58</v>
      </c>
      <c r="H370" t="s">
        <v>59</v>
      </c>
      <c r="L370" s="10" t="s">
        <v>183</v>
      </c>
      <c r="M370" s="8" t="s">
        <v>806</v>
      </c>
      <c r="N370" s="8"/>
      <c r="O370" s="8"/>
    </row>
    <row r="371" spans="1:15">
      <c r="A371" t="s">
        <v>966</v>
      </c>
      <c r="D371" t="s">
        <v>818</v>
      </c>
      <c r="E371" t="s">
        <v>819</v>
      </c>
      <c r="F371" t="s">
        <v>967</v>
      </c>
      <c r="G371" t="s">
        <v>58</v>
      </c>
      <c r="H371" t="s">
        <v>59</v>
      </c>
      <c r="L371" s="10" t="s">
        <v>183</v>
      </c>
      <c r="M371" s="8" t="s">
        <v>806</v>
      </c>
      <c r="N371" s="8"/>
      <c r="O371" s="8"/>
    </row>
    <row r="372" spans="1:15">
      <c r="A372" t="s">
        <v>968</v>
      </c>
      <c r="D372" t="s">
        <v>818</v>
      </c>
      <c r="E372" t="s">
        <v>819</v>
      </c>
      <c r="F372" t="s">
        <v>969</v>
      </c>
      <c r="G372" t="s">
        <v>58</v>
      </c>
      <c r="H372" t="s">
        <v>59</v>
      </c>
      <c r="L372" s="10" t="s">
        <v>183</v>
      </c>
      <c r="M372" s="8" t="s">
        <v>806</v>
      </c>
      <c r="N372" s="8"/>
      <c r="O372" s="8"/>
    </row>
    <row r="373" spans="1:15">
      <c r="A373" t="s">
        <v>970</v>
      </c>
      <c r="D373" t="s">
        <v>818</v>
      </c>
      <c r="E373" t="s">
        <v>819</v>
      </c>
      <c r="F373" t="s">
        <v>971</v>
      </c>
      <c r="G373" t="s">
        <v>58</v>
      </c>
      <c r="H373" t="s">
        <v>59</v>
      </c>
      <c r="L373" s="10" t="s">
        <v>183</v>
      </c>
      <c r="M373" s="8" t="s">
        <v>806</v>
      </c>
      <c r="N373" s="8"/>
      <c r="O373" s="8"/>
    </row>
    <row r="374" spans="1:15">
      <c r="A374" t="s">
        <v>972</v>
      </c>
      <c r="D374" t="s">
        <v>818</v>
      </c>
      <c r="E374" t="s">
        <v>819</v>
      </c>
      <c r="F374" t="s">
        <v>973</v>
      </c>
      <c r="G374" t="s">
        <v>58</v>
      </c>
      <c r="H374" t="s">
        <v>59</v>
      </c>
      <c r="J374" t="s">
        <v>917</v>
      </c>
      <c r="L374" s="12" t="s">
        <v>277</v>
      </c>
      <c r="M374" s="8" t="s">
        <v>974</v>
      </c>
      <c r="N374" s="8"/>
      <c r="O374" s="8"/>
    </row>
    <row r="375" spans="1:15">
      <c r="A375" t="s">
        <v>975</v>
      </c>
      <c r="D375" t="s">
        <v>818</v>
      </c>
      <c r="E375" t="s">
        <v>819</v>
      </c>
      <c r="F375" t="s">
        <v>976</v>
      </c>
      <c r="G375" t="s">
        <v>58</v>
      </c>
      <c r="H375" t="s">
        <v>59</v>
      </c>
      <c r="J375" t="s">
        <v>917</v>
      </c>
      <c r="L375" s="12" t="s">
        <v>277</v>
      </c>
      <c r="M375" s="8" t="s">
        <v>974</v>
      </c>
      <c r="N375" s="8"/>
      <c r="O375" s="8"/>
    </row>
    <row r="376" spans="1:15" ht="26.45">
      <c r="A376" t="s">
        <v>977</v>
      </c>
      <c r="D376" t="s">
        <v>818</v>
      </c>
      <c r="E376" t="s">
        <v>819</v>
      </c>
      <c r="F376" t="s">
        <v>978</v>
      </c>
      <c r="G376" t="s">
        <v>58</v>
      </c>
      <c r="H376" t="s">
        <v>59</v>
      </c>
      <c r="L376" s="10" t="s">
        <v>183</v>
      </c>
      <c r="M376" s="8" t="s">
        <v>830</v>
      </c>
      <c r="N376" s="8"/>
      <c r="O376" s="8"/>
    </row>
    <row r="377" spans="1:15">
      <c r="A377" t="s">
        <v>979</v>
      </c>
      <c r="D377" t="s">
        <v>818</v>
      </c>
      <c r="E377" t="s">
        <v>819</v>
      </c>
      <c r="F377" t="s">
        <v>980</v>
      </c>
      <c r="G377" t="s">
        <v>58</v>
      </c>
      <c r="H377" t="s">
        <v>59</v>
      </c>
      <c r="L377" s="12" t="s">
        <v>277</v>
      </c>
      <c r="M377" s="8" t="s">
        <v>974</v>
      </c>
      <c r="N377" s="8"/>
      <c r="O377" s="8"/>
    </row>
    <row r="378" spans="1:15">
      <c r="A378" t="s">
        <v>981</v>
      </c>
      <c r="D378" t="s">
        <v>818</v>
      </c>
      <c r="E378" t="s">
        <v>819</v>
      </c>
      <c r="F378" t="s">
        <v>982</v>
      </c>
      <c r="G378" t="s">
        <v>58</v>
      </c>
      <c r="H378" t="s">
        <v>59</v>
      </c>
      <c r="L378" s="12" t="s">
        <v>277</v>
      </c>
      <c r="M378" s="8" t="s">
        <v>974</v>
      </c>
      <c r="N378" s="8"/>
      <c r="O378" s="8"/>
    </row>
    <row r="379" spans="1:15">
      <c r="A379" t="s">
        <v>983</v>
      </c>
      <c r="D379" t="s">
        <v>818</v>
      </c>
      <c r="E379" t="s">
        <v>819</v>
      </c>
      <c r="F379" t="s">
        <v>984</v>
      </c>
      <c r="G379" t="s">
        <v>58</v>
      </c>
      <c r="H379" t="s">
        <v>59</v>
      </c>
      <c r="L379" s="12" t="s">
        <v>277</v>
      </c>
      <c r="M379" s="8" t="s">
        <v>974</v>
      </c>
      <c r="N379" s="8"/>
      <c r="O379" s="8"/>
    </row>
    <row r="380" spans="1:15">
      <c r="A380" t="s">
        <v>985</v>
      </c>
      <c r="D380" t="s">
        <v>818</v>
      </c>
      <c r="E380" t="s">
        <v>819</v>
      </c>
      <c r="F380" t="s">
        <v>986</v>
      </c>
      <c r="G380" t="s">
        <v>58</v>
      </c>
      <c r="H380" t="s">
        <v>59</v>
      </c>
      <c r="L380" s="12" t="s">
        <v>277</v>
      </c>
      <c r="M380" s="8" t="s">
        <v>974</v>
      </c>
      <c r="N380" s="8"/>
      <c r="O380" s="8"/>
    </row>
    <row r="381" spans="1:15">
      <c r="A381" t="s">
        <v>987</v>
      </c>
      <c r="D381" t="s">
        <v>818</v>
      </c>
      <c r="E381" t="s">
        <v>819</v>
      </c>
      <c r="F381" t="s">
        <v>988</v>
      </c>
      <c r="G381" t="s">
        <v>58</v>
      </c>
      <c r="H381" t="s">
        <v>59</v>
      </c>
      <c r="L381" s="12" t="s">
        <v>277</v>
      </c>
      <c r="M381" s="8" t="s">
        <v>974</v>
      </c>
      <c r="N381" s="8"/>
      <c r="O381" s="8"/>
    </row>
    <row r="382" spans="1:15" ht="26.45">
      <c r="A382" t="s">
        <v>989</v>
      </c>
      <c r="D382" t="s">
        <v>818</v>
      </c>
      <c r="E382" t="s">
        <v>819</v>
      </c>
      <c r="F382" t="s">
        <v>990</v>
      </c>
      <c r="G382" t="s">
        <v>58</v>
      </c>
      <c r="H382" t="s">
        <v>59</v>
      </c>
      <c r="L382" s="10" t="s">
        <v>183</v>
      </c>
      <c r="M382" s="8" t="s">
        <v>830</v>
      </c>
      <c r="N382" s="8"/>
      <c r="O382" s="8"/>
    </row>
    <row r="383" spans="1:15" ht="26.45">
      <c r="A383" t="s">
        <v>991</v>
      </c>
      <c r="D383" t="s">
        <v>818</v>
      </c>
      <c r="E383" t="s">
        <v>819</v>
      </c>
      <c r="F383" t="s">
        <v>992</v>
      </c>
      <c r="G383" t="s">
        <v>58</v>
      </c>
      <c r="H383" t="s">
        <v>59</v>
      </c>
      <c r="L383" s="10" t="s">
        <v>183</v>
      </c>
      <c r="M383" s="8" t="s">
        <v>830</v>
      </c>
      <c r="N383" s="8"/>
      <c r="O383" s="8"/>
    </row>
    <row r="384" spans="1:15">
      <c r="A384" t="s">
        <v>993</v>
      </c>
      <c r="D384" t="s">
        <v>818</v>
      </c>
      <c r="E384" t="s">
        <v>819</v>
      </c>
      <c r="F384" t="s">
        <v>994</v>
      </c>
      <c r="G384" t="s">
        <v>58</v>
      </c>
      <c r="H384" t="s">
        <v>59</v>
      </c>
      <c r="L384" s="12" t="s">
        <v>277</v>
      </c>
      <c r="M384" s="8" t="s">
        <v>974</v>
      </c>
      <c r="N384" s="8"/>
      <c r="O384" s="8"/>
    </row>
    <row r="385" spans="1:15">
      <c r="A385" t="s">
        <v>995</v>
      </c>
      <c r="D385" t="s">
        <v>818</v>
      </c>
      <c r="E385" t="s">
        <v>819</v>
      </c>
      <c r="F385" t="s">
        <v>996</v>
      </c>
      <c r="G385" t="s">
        <v>58</v>
      </c>
      <c r="H385" t="s">
        <v>59</v>
      </c>
      <c r="L385" s="12" t="s">
        <v>277</v>
      </c>
      <c r="M385" s="8" t="s">
        <v>974</v>
      </c>
      <c r="N385" s="8"/>
      <c r="O385" s="8"/>
    </row>
    <row r="386" spans="1:15">
      <c r="A386" t="s">
        <v>997</v>
      </c>
      <c r="D386" t="s">
        <v>818</v>
      </c>
      <c r="E386" t="s">
        <v>819</v>
      </c>
      <c r="F386" t="s">
        <v>998</v>
      </c>
      <c r="G386" t="s">
        <v>58</v>
      </c>
      <c r="H386" t="s">
        <v>59</v>
      </c>
      <c r="L386" s="10" t="s">
        <v>183</v>
      </c>
      <c r="M386" s="8" t="s">
        <v>806</v>
      </c>
      <c r="N386" s="8"/>
      <c r="O386" s="8"/>
    </row>
    <row r="387" spans="1:15">
      <c r="A387" t="s">
        <v>999</v>
      </c>
      <c r="D387" t="s">
        <v>818</v>
      </c>
      <c r="E387" t="s">
        <v>819</v>
      </c>
      <c r="F387" t="s">
        <v>1000</v>
      </c>
      <c r="G387" t="s">
        <v>31</v>
      </c>
      <c r="H387" t="s">
        <v>32</v>
      </c>
      <c r="J387" t="s">
        <v>1001</v>
      </c>
      <c r="L387" s="10" t="s">
        <v>183</v>
      </c>
      <c r="M387" s="8" t="s">
        <v>667</v>
      </c>
      <c r="N387" s="8"/>
      <c r="O387" s="8"/>
    </row>
    <row r="388" spans="1:15">
      <c r="A388" t="s">
        <v>1002</v>
      </c>
      <c r="D388" t="s">
        <v>818</v>
      </c>
      <c r="E388" t="s">
        <v>819</v>
      </c>
      <c r="F388" t="s">
        <v>1003</v>
      </c>
      <c r="G388" t="s">
        <v>58</v>
      </c>
      <c r="H388" t="s">
        <v>32</v>
      </c>
      <c r="J388" t="s">
        <v>1004</v>
      </c>
      <c r="L388" s="10" t="s">
        <v>183</v>
      </c>
      <c r="M388" s="8" t="s">
        <v>667</v>
      </c>
      <c r="N388" s="8"/>
      <c r="O388" s="8"/>
    </row>
    <row r="389" spans="1:15" ht="26.45">
      <c r="A389" t="s">
        <v>1005</v>
      </c>
      <c r="D389" t="s">
        <v>818</v>
      </c>
      <c r="E389" t="s">
        <v>819</v>
      </c>
      <c r="F389" t="s">
        <v>1006</v>
      </c>
      <c r="G389" t="s">
        <v>58</v>
      </c>
      <c r="H389" t="s">
        <v>32</v>
      </c>
      <c r="L389" s="10" t="s">
        <v>183</v>
      </c>
      <c r="M389" s="8" t="s">
        <v>830</v>
      </c>
      <c r="N389" s="8"/>
      <c r="O389" s="8"/>
    </row>
    <row r="390" spans="1:15" ht="26.45">
      <c r="A390" t="s">
        <v>1007</v>
      </c>
      <c r="D390" t="s">
        <v>818</v>
      </c>
      <c r="E390" t="s">
        <v>819</v>
      </c>
      <c r="F390" t="s">
        <v>1008</v>
      </c>
      <c r="G390" t="s">
        <v>58</v>
      </c>
      <c r="H390" t="s">
        <v>32</v>
      </c>
      <c r="L390" s="10" t="s">
        <v>183</v>
      </c>
      <c r="M390" s="8" t="s">
        <v>830</v>
      </c>
      <c r="N390" s="8"/>
      <c r="O390" s="8"/>
    </row>
    <row r="391" spans="1:15">
      <c r="A391" t="s">
        <v>1009</v>
      </c>
      <c r="D391" t="s">
        <v>1010</v>
      </c>
      <c r="E391" t="s">
        <v>1011</v>
      </c>
      <c r="F391" t="s">
        <v>1012</v>
      </c>
      <c r="G391" t="s">
        <v>82</v>
      </c>
      <c r="H391" t="s">
        <v>83</v>
      </c>
      <c r="L391" s="10" t="s">
        <v>183</v>
      </c>
      <c r="M391" s="8" t="s">
        <v>667</v>
      </c>
      <c r="N391" s="8"/>
      <c r="O391" s="8"/>
    </row>
    <row r="392" spans="1:15">
      <c r="A392" t="s">
        <v>1013</v>
      </c>
      <c r="D392" t="s">
        <v>1010</v>
      </c>
      <c r="E392" t="s">
        <v>1011</v>
      </c>
      <c r="F392" t="s">
        <v>1014</v>
      </c>
      <c r="G392" t="s">
        <v>82</v>
      </c>
      <c r="H392" t="s">
        <v>83</v>
      </c>
      <c r="L392" s="10" t="s">
        <v>183</v>
      </c>
      <c r="M392" s="8" t="s">
        <v>667</v>
      </c>
      <c r="N392" s="8"/>
      <c r="O392" s="8"/>
    </row>
    <row r="393" spans="1:15">
      <c r="A393" t="s">
        <v>1015</v>
      </c>
      <c r="D393" t="s">
        <v>1010</v>
      </c>
      <c r="E393" t="s">
        <v>1011</v>
      </c>
      <c r="F393" t="s">
        <v>1016</v>
      </c>
      <c r="G393" t="s">
        <v>58</v>
      </c>
      <c r="H393" t="s">
        <v>59</v>
      </c>
      <c r="L393" s="10" t="s">
        <v>183</v>
      </c>
      <c r="M393" s="8" t="s">
        <v>667</v>
      </c>
      <c r="N393" s="8"/>
      <c r="O393" s="8"/>
    </row>
    <row r="394" spans="1:15">
      <c r="A394" t="s">
        <v>1017</v>
      </c>
      <c r="D394" t="s">
        <v>1010</v>
      </c>
      <c r="E394" t="s">
        <v>1011</v>
      </c>
      <c r="F394" t="s">
        <v>1018</v>
      </c>
      <c r="G394" t="s">
        <v>58</v>
      </c>
      <c r="H394" t="s">
        <v>59</v>
      </c>
      <c r="L394" s="10" t="s">
        <v>183</v>
      </c>
      <c r="M394" s="8" t="s">
        <v>667</v>
      </c>
      <c r="N394" s="8"/>
      <c r="O394" s="8"/>
    </row>
    <row r="395" spans="1:15">
      <c r="A395" t="s">
        <v>1019</v>
      </c>
      <c r="D395" t="s">
        <v>1010</v>
      </c>
      <c r="E395" t="s">
        <v>1011</v>
      </c>
      <c r="F395" t="s">
        <v>1020</v>
      </c>
      <c r="G395" t="s">
        <v>58</v>
      </c>
      <c r="H395" t="s">
        <v>59</v>
      </c>
      <c r="L395" s="10" t="s">
        <v>183</v>
      </c>
      <c r="M395" s="8" t="s">
        <v>667</v>
      </c>
      <c r="N395" s="8"/>
      <c r="O395" s="8"/>
    </row>
    <row r="396" spans="1:15" ht="15" customHeight="1">
      <c r="A396" t="s">
        <v>1021</v>
      </c>
      <c r="D396" t="s">
        <v>1010</v>
      </c>
      <c r="E396" t="s">
        <v>1011</v>
      </c>
      <c r="F396" t="s">
        <v>1022</v>
      </c>
      <c r="G396" t="s">
        <v>31</v>
      </c>
      <c r="H396" t="s">
        <v>32</v>
      </c>
      <c r="I396" t="s">
        <v>1023</v>
      </c>
      <c r="J396" s="3" t="s">
        <v>1024</v>
      </c>
      <c r="L396" s="10" t="s">
        <v>183</v>
      </c>
      <c r="M396" s="8" t="s">
        <v>667</v>
      </c>
      <c r="N396" s="8"/>
      <c r="O396" s="8"/>
    </row>
    <row r="397" spans="1:15" ht="15" customHeight="1">
      <c r="A397" t="s">
        <v>1025</v>
      </c>
      <c r="D397" t="s">
        <v>1010</v>
      </c>
      <c r="E397" t="s">
        <v>1011</v>
      </c>
      <c r="F397" t="s">
        <v>1026</v>
      </c>
      <c r="G397" t="s">
        <v>31</v>
      </c>
      <c r="H397" t="s">
        <v>32</v>
      </c>
      <c r="I397" t="s">
        <v>1023</v>
      </c>
      <c r="J397" s="3" t="s">
        <v>1024</v>
      </c>
      <c r="L397" s="10" t="s">
        <v>183</v>
      </c>
      <c r="M397" s="8" t="s">
        <v>667</v>
      </c>
      <c r="N397" s="8"/>
      <c r="O397" s="8"/>
    </row>
    <row r="398" spans="1:15" ht="15" customHeight="1">
      <c r="A398" t="s">
        <v>1027</v>
      </c>
      <c r="D398" t="s">
        <v>1010</v>
      </c>
      <c r="E398" t="s">
        <v>1011</v>
      </c>
      <c r="F398" t="s">
        <v>1028</v>
      </c>
      <c r="G398" t="s">
        <v>31</v>
      </c>
      <c r="H398" t="s">
        <v>32</v>
      </c>
      <c r="I398" t="s">
        <v>1023</v>
      </c>
      <c r="J398" s="3" t="s">
        <v>1024</v>
      </c>
      <c r="L398" s="10" t="s">
        <v>183</v>
      </c>
      <c r="M398" s="8" t="s">
        <v>667</v>
      </c>
      <c r="N398" s="8"/>
      <c r="O398" s="8"/>
    </row>
    <row r="399" spans="1:15">
      <c r="A399" t="s">
        <v>1029</v>
      </c>
      <c r="D399" t="s">
        <v>1010</v>
      </c>
      <c r="E399" t="s">
        <v>1011</v>
      </c>
      <c r="F399" t="s">
        <v>915</v>
      </c>
      <c r="G399" t="s">
        <v>31</v>
      </c>
      <c r="H399" t="s">
        <v>32</v>
      </c>
      <c r="I399" t="s">
        <v>1030</v>
      </c>
      <c r="L399" s="7" t="s">
        <v>17</v>
      </c>
      <c r="M399" s="8" t="s">
        <v>60</v>
      </c>
      <c r="N399" s="8"/>
      <c r="O399" s="8"/>
    </row>
    <row r="400" spans="1:15" ht="26.45">
      <c r="A400" t="s">
        <v>1031</v>
      </c>
      <c r="D400" t="s">
        <v>1010</v>
      </c>
      <c r="E400" t="s">
        <v>1011</v>
      </c>
      <c r="F400" t="s">
        <v>919</v>
      </c>
      <c r="G400" t="s">
        <v>31</v>
      </c>
      <c r="H400" t="s">
        <v>32</v>
      </c>
      <c r="I400" t="s">
        <v>1032</v>
      </c>
      <c r="L400" s="10" t="s">
        <v>183</v>
      </c>
      <c r="M400" s="8" t="s">
        <v>830</v>
      </c>
      <c r="N400" s="8"/>
      <c r="O400" s="8"/>
    </row>
    <row r="401" spans="1:15" ht="26.45">
      <c r="A401" t="s">
        <v>1033</v>
      </c>
      <c r="D401" t="s">
        <v>1010</v>
      </c>
      <c r="E401" t="s">
        <v>1011</v>
      </c>
      <c r="F401" t="s">
        <v>922</v>
      </c>
      <c r="G401" t="s">
        <v>31</v>
      </c>
      <c r="H401" t="s">
        <v>32</v>
      </c>
      <c r="I401" t="s">
        <v>1032</v>
      </c>
      <c r="L401" s="10" t="s">
        <v>183</v>
      </c>
      <c r="M401" s="8" t="s">
        <v>830</v>
      </c>
      <c r="N401" s="8"/>
      <c r="O401" s="8"/>
    </row>
    <row r="402" spans="1:15" ht="26.45">
      <c r="A402" t="s">
        <v>1034</v>
      </c>
      <c r="D402" t="s">
        <v>1010</v>
      </c>
      <c r="E402" t="s">
        <v>1011</v>
      </c>
      <c r="F402" t="s">
        <v>924</v>
      </c>
      <c r="G402" t="s">
        <v>31</v>
      </c>
      <c r="H402" t="s">
        <v>32</v>
      </c>
      <c r="I402" t="s">
        <v>1032</v>
      </c>
      <c r="L402" s="10" t="s">
        <v>183</v>
      </c>
      <c r="M402" s="8" t="s">
        <v>830</v>
      </c>
      <c r="N402" s="8"/>
      <c r="O402" s="8"/>
    </row>
    <row r="403" spans="1:15">
      <c r="A403" t="s">
        <v>1035</v>
      </c>
      <c r="D403" t="s">
        <v>1010</v>
      </c>
      <c r="E403" t="s">
        <v>1011</v>
      </c>
      <c r="F403" t="s">
        <v>1036</v>
      </c>
      <c r="G403" t="s">
        <v>58</v>
      </c>
      <c r="H403" t="s">
        <v>59</v>
      </c>
      <c r="L403" s="10" t="s">
        <v>183</v>
      </c>
      <c r="M403" s="8" t="s">
        <v>667</v>
      </c>
      <c r="N403" s="8"/>
      <c r="O403" s="8"/>
    </row>
    <row r="404" spans="1:15">
      <c r="A404" t="s">
        <v>1037</v>
      </c>
      <c r="D404" t="s">
        <v>1010</v>
      </c>
      <c r="E404" t="s">
        <v>1011</v>
      </c>
      <c r="F404" t="s">
        <v>1038</v>
      </c>
      <c r="G404" t="s">
        <v>58</v>
      </c>
      <c r="H404" t="s">
        <v>59</v>
      </c>
      <c r="L404" s="10" t="s">
        <v>183</v>
      </c>
      <c r="M404" s="8" t="s">
        <v>667</v>
      </c>
      <c r="N404" s="8"/>
      <c r="O404" s="8"/>
    </row>
    <row r="405" spans="1:15">
      <c r="A405" t="s">
        <v>1039</v>
      </c>
      <c r="D405" t="s">
        <v>1010</v>
      </c>
      <c r="E405" t="s">
        <v>1011</v>
      </c>
      <c r="F405" t="s">
        <v>1040</v>
      </c>
      <c r="G405" t="s">
        <v>58</v>
      </c>
      <c r="H405" t="s">
        <v>59</v>
      </c>
      <c r="L405" s="10" t="s">
        <v>183</v>
      </c>
      <c r="M405" s="8" t="s">
        <v>667</v>
      </c>
      <c r="N405" s="8"/>
      <c r="O405" s="8"/>
    </row>
    <row r="406" spans="1:15">
      <c r="A406" t="s">
        <v>1041</v>
      </c>
      <c r="D406" t="s">
        <v>1010</v>
      </c>
      <c r="E406" t="s">
        <v>1011</v>
      </c>
      <c r="F406" t="s">
        <v>1042</v>
      </c>
      <c r="G406" t="s">
        <v>58</v>
      </c>
      <c r="H406" t="s">
        <v>59</v>
      </c>
      <c r="L406" s="10" t="s">
        <v>183</v>
      </c>
      <c r="M406" s="8" t="s">
        <v>667</v>
      </c>
      <c r="N406" s="8"/>
      <c r="O406" s="8"/>
    </row>
    <row r="407" spans="1:15">
      <c r="A407" t="s">
        <v>1043</v>
      </c>
      <c r="D407" t="s">
        <v>1010</v>
      </c>
      <c r="E407" t="s">
        <v>1011</v>
      </c>
      <c r="F407" t="s">
        <v>1044</v>
      </c>
      <c r="G407" t="s">
        <v>58</v>
      </c>
      <c r="H407" t="s">
        <v>59</v>
      </c>
      <c r="L407" s="10" t="s">
        <v>183</v>
      </c>
      <c r="M407" s="8" t="s">
        <v>667</v>
      </c>
      <c r="N407" s="8"/>
      <c r="O407" s="8"/>
    </row>
    <row r="408" spans="1:15">
      <c r="A408" t="s">
        <v>1045</v>
      </c>
      <c r="D408" t="s">
        <v>1010</v>
      </c>
      <c r="E408" t="s">
        <v>1011</v>
      </c>
      <c r="F408" t="s">
        <v>1046</v>
      </c>
      <c r="G408" t="s">
        <v>58</v>
      </c>
      <c r="H408" t="s">
        <v>59</v>
      </c>
      <c r="L408" s="10" t="s">
        <v>183</v>
      </c>
      <c r="M408" s="8" t="s">
        <v>667</v>
      </c>
      <c r="N408" s="8"/>
      <c r="O408" s="8"/>
    </row>
    <row r="409" spans="1:15">
      <c r="A409" t="s">
        <v>1047</v>
      </c>
      <c r="D409" t="s">
        <v>1010</v>
      </c>
      <c r="E409" t="s">
        <v>1011</v>
      </c>
      <c r="F409" t="s">
        <v>1048</v>
      </c>
      <c r="G409" t="s">
        <v>58</v>
      </c>
      <c r="H409" t="s">
        <v>32</v>
      </c>
      <c r="L409" s="10" t="s">
        <v>183</v>
      </c>
      <c r="M409" s="8" t="s">
        <v>667</v>
      </c>
      <c r="N409" s="8"/>
      <c r="O409" s="8"/>
    </row>
    <row r="410" spans="1:15" ht="15" customHeight="1">
      <c r="A410" t="s">
        <v>1049</v>
      </c>
      <c r="D410" t="s">
        <v>1050</v>
      </c>
      <c r="E410" t="s">
        <v>1050</v>
      </c>
      <c r="F410" t="s">
        <v>1051</v>
      </c>
      <c r="G410" t="s">
        <v>82</v>
      </c>
      <c r="H410" t="s">
        <v>1052</v>
      </c>
      <c r="J410" s="3" t="s">
        <v>1053</v>
      </c>
      <c r="L410" s="7" t="s">
        <v>17</v>
      </c>
      <c r="M410" s="8" t="s">
        <v>1054</v>
      </c>
      <c r="N410" s="8"/>
      <c r="O410" s="8"/>
    </row>
    <row r="411" spans="1:15" ht="15" customHeight="1">
      <c r="A411" t="s">
        <v>1055</v>
      </c>
      <c r="D411" t="s">
        <v>1050</v>
      </c>
      <c r="E411" t="s">
        <v>1050</v>
      </c>
      <c r="F411" t="s">
        <v>1051</v>
      </c>
      <c r="G411" t="s">
        <v>82</v>
      </c>
      <c r="H411" t="s">
        <v>1052</v>
      </c>
      <c r="J411" s="3"/>
      <c r="L411" s="7" t="s">
        <v>17</v>
      </c>
      <c r="M411" s="8" t="s">
        <v>1054</v>
      </c>
      <c r="N411" s="8"/>
      <c r="O411" s="8"/>
    </row>
    <row r="412" spans="1:15" ht="15" customHeight="1">
      <c r="A412" t="s">
        <v>1056</v>
      </c>
      <c r="D412" t="s">
        <v>1050</v>
      </c>
      <c r="E412" t="s">
        <v>1050</v>
      </c>
      <c r="F412" t="s">
        <v>1051</v>
      </c>
      <c r="G412" t="s">
        <v>82</v>
      </c>
      <c r="H412" t="s">
        <v>1052</v>
      </c>
      <c r="J412" s="3"/>
      <c r="L412" s="7" t="s">
        <v>17</v>
      </c>
      <c r="M412" s="8" t="s">
        <v>1054</v>
      </c>
      <c r="N412" s="8"/>
      <c r="O412" s="8"/>
    </row>
    <row r="413" spans="1:15" ht="15" customHeight="1">
      <c r="A413" t="s">
        <v>1057</v>
      </c>
      <c r="D413" t="s">
        <v>1050</v>
      </c>
      <c r="E413" t="s">
        <v>1050</v>
      </c>
      <c r="F413" t="s">
        <v>1058</v>
      </c>
      <c r="G413" t="s">
        <v>82</v>
      </c>
      <c r="H413" t="s">
        <v>1052</v>
      </c>
      <c r="J413" s="3" t="s">
        <v>1059</v>
      </c>
      <c r="L413" s="7" t="s">
        <v>17</v>
      </c>
      <c r="M413" s="8" t="s">
        <v>1054</v>
      </c>
      <c r="N413" s="8"/>
      <c r="O413" s="8"/>
    </row>
    <row r="414" spans="1:15" ht="15" customHeight="1">
      <c r="A414" t="s">
        <v>1060</v>
      </c>
      <c r="D414" t="s">
        <v>1050</v>
      </c>
      <c r="E414" t="s">
        <v>1050</v>
      </c>
      <c r="F414" t="s">
        <v>1061</v>
      </c>
      <c r="G414" t="str">
        <f>_xlfn.XLOOKUP(F414,'NPO Caseware'!G:G,'NPO Caseware'!H:H)</f>
        <v>PBC</v>
      </c>
      <c r="H414" t="str">
        <f>_xlfn.XLOOKUP(F414,'NPO Caseware'!G:G,'NPO Caseware'!I:I)</f>
        <v>Any</v>
      </c>
      <c r="J414" s="3"/>
      <c r="L414" s="7" t="s">
        <v>17</v>
      </c>
      <c r="M414" s="8" t="s">
        <v>1054</v>
      </c>
      <c r="N414" s="8"/>
      <c r="O414" s="8"/>
    </row>
    <row r="415" spans="1:15" ht="15" customHeight="1">
      <c r="A415" t="s">
        <v>1062</v>
      </c>
      <c r="D415" t="s">
        <v>1050</v>
      </c>
      <c r="E415" t="s">
        <v>1050</v>
      </c>
      <c r="F415" t="s">
        <v>1063</v>
      </c>
      <c r="G415" t="str">
        <f>_xlfn.XLOOKUP(F415,'NPO Caseware'!G:G,'NPO Caseware'!H:H)</f>
        <v>PBC</v>
      </c>
      <c r="H415" t="str">
        <f>_xlfn.XLOOKUP(F415,'NPO Caseware'!G:G,'NPO Caseware'!I:I)</f>
        <v>Any</v>
      </c>
      <c r="J415" s="3"/>
      <c r="L415" s="7" t="s">
        <v>17</v>
      </c>
      <c r="M415" s="8" t="s">
        <v>1054</v>
      </c>
      <c r="N415" s="8"/>
      <c r="O415" s="8"/>
    </row>
    <row r="416" spans="1:15" ht="15" customHeight="1">
      <c r="A416" t="s">
        <v>1064</v>
      </c>
      <c r="D416" t="s">
        <v>1050</v>
      </c>
      <c r="E416" t="s">
        <v>1050</v>
      </c>
      <c r="F416" t="s">
        <v>1065</v>
      </c>
      <c r="G416" t="str">
        <f>_xlfn.XLOOKUP(F416,'NPO Caseware'!G:G,'NPO Caseware'!H:H)</f>
        <v>PBC</v>
      </c>
      <c r="H416" t="str">
        <f>_xlfn.XLOOKUP(F416,'NPO Caseware'!G:G,'NPO Caseware'!I:I)</f>
        <v>Any</v>
      </c>
      <c r="J416" s="3"/>
      <c r="L416" s="7" t="s">
        <v>17</v>
      </c>
      <c r="M416" s="8" t="s">
        <v>1054</v>
      </c>
      <c r="N416" s="8"/>
      <c r="O416" s="8"/>
    </row>
    <row r="417" spans="1:15" ht="15" customHeight="1">
      <c r="A417" t="s">
        <v>1066</v>
      </c>
      <c r="D417" t="s">
        <v>1050</v>
      </c>
      <c r="E417" t="s">
        <v>1050</v>
      </c>
      <c r="F417" t="s">
        <v>1067</v>
      </c>
      <c r="G417" t="str">
        <f>_xlfn.XLOOKUP(F417,'NPO Caseware'!G:G,'NPO Caseware'!H:H)</f>
        <v>PBC</v>
      </c>
      <c r="H417" t="str">
        <f>_xlfn.XLOOKUP(F417,'NPO Caseware'!G:G,'NPO Caseware'!I:I)</f>
        <v>Any</v>
      </c>
      <c r="J417" s="3"/>
      <c r="L417" s="7" t="s">
        <v>17</v>
      </c>
      <c r="M417" s="8" t="s">
        <v>1054</v>
      </c>
      <c r="N417" s="8"/>
      <c r="O417" s="8"/>
    </row>
    <row r="418" spans="1:15" ht="15" customHeight="1">
      <c r="A418" t="s">
        <v>1068</v>
      </c>
      <c r="D418" t="s">
        <v>1050</v>
      </c>
      <c r="E418" t="s">
        <v>1050</v>
      </c>
      <c r="F418" t="s">
        <v>1069</v>
      </c>
      <c r="G418" t="str">
        <f>_xlfn.XLOOKUP(F418,'NPO Caseware'!G:G,'NPO Caseware'!H:H)</f>
        <v>PBC</v>
      </c>
      <c r="H418" t="str">
        <f>_xlfn.XLOOKUP(F418,'NPO Caseware'!G:G,'NPO Caseware'!I:I)</f>
        <v>Any</v>
      </c>
      <c r="J418" s="3"/>
      <c r="L418" s="7" t="s">
        <v>17</v>
      </c>
      <c r="M418" s="8" t="s">
        <v>1054</v>
      </c>
      <c r="N418" s="8"/>
      <c r="O418" s="8"/>
    </row>
    <row r="419" spans="1:15" ht="15" customHeight="1">
      <c r="A419" t="s">
        <v>1070</v>
      </c>
      <c r="D419" t="s">
        <v>1050</v>
      </c>
      <c r="E419" t="s">
        <v>1050</v>
      </c>
      <c r="F419" t="s">
        <v>1071</v>
      </c>
      <c r="G419" t="str">
        <f>_xlfn.XLOOKUP(F419,'NPO Caseware'!G:G,'NPO Caseware'!H:H)</f>
        <v>PBC</v>
      </c>
      <c r="H419" t="str">
        <f>_xlfn.XLOOKUP(F419,'NPO Caseware'!G:G,'NPO Caseware'!I:I)</f>
        <v>Any</v>
      </c>
      <c r="J419" s="3"/>
      <c r="L419" s="7" t="s">
        <v>17</v>
      </c>
      <c r="M419" s="8" t="s">
        <v>1054</v>
      </c>
      <c r="N419" s="8"/>
      <c r="O419" s="8"/>
    </row>
    <row r="420" spans="1:15" ht="15" customHeight="1">
      <c r="A420" t="s">
        <v>1072</v>
      </c>
      <c r="D420" t="s">
        <v>1050</v>
      </c>
      <c r="E420" t="s">
        <v>1050</v>
      </c>
      <c r="F420" t="s">
        <v>1073</v>
      </c>
      <c r="G420" t="str">
        <f>_xlfn.XLOOKUP(F420,'NPO Caseware'!G:G,'NPO Caseware'!H:H)</f>
        <v>PBC</v>
      </c>
      <c r="H420" t="str">
        <f>_xlfn.XLOOKUP(F420,'NPO Caseware'!G:G,'NPO Caseware'!I:I)</f>
        <v>Any</v>
      </c>
      <c r="J420" s="3"/>
      <c r="L420" s="7" t="s">
        <v>17</v>
      </c>
      <c r="M420" s="8" t="s">
        <v>1054</v>
      </c>
      <c r="N420" s="8"/>
      <c r="O420" s="8"/>
    </row>
    <row r="421" spans="1:15" ht="15" customHeight="1">
      <c r="A421" t="s">
        <v>1074</v>
      </c>
      <c r="D421" t="s">
        <v>1050</v>
      </c>
      <c r="E421" t="s">
        <v>1050</v>
      </c>
      <c r="F421" t="s">
        <v>1075</v>
      </c>
      <c r="G421" t="str">
        <f>_xlfn.XLOOKUP(F421,'NPO Caseware'!G:G,'NPO Caseware'!H:H)</f>
        <v>PBC</v>
      </c>
      <c r="H421" t="str">
        <f>_xlfn.XLOOKUP(F421,'NPO Caseware'!G:G,'NPO Caseware'!I:I)</f>
        <v>Any</v>
      </c>
      <c r="J421" s="3"/>
      <c r="L421" s="7" t="s">
        <v>17</v>
      </c>
      <c r="M421" s="8" t="s">
        <v>1054</v>
      </c>
      <c r="N421" s="8"/>
      <c r="O421" s="8"/>
    </row>
    <row r="422" spans="1:15" ht="15" customHeight="1">
      <c r="A422" t="s">
        <v>1076</v>
      </c>
      <c r="D422" t="s">
        <v>1050</v>
      </c>
      <c r="E422" t="s">
        <v>1050</v>
      </c>
      <c r="F422" t="s">
        <v>1077</v>
      </c>
      <c r="G422" t="str">
        <f>_xlfn.XLOOKUP(F422,'NPO Caseware'!G:G,'NPO Caseware'!H:H)</f>
        <v>PBC</v>
      </c>
      <c r="H422" t="str">
        <f>_xlfn.XLOOKUP(F422,'NPO Caseware'!G:G,'NPO Caseware'!I:I)</f>
        <v>Any</v>
      </c>
      <c r="J422" s="3"/>
      <c r="L422" s="7" t="s">
        <v>17</v>
      </c>
      <c r="M422" s="8" t="s">
        <v>1054</v>
      </c>
      <c r="N422" s="8"/>
      <c r="O422" s="8"/>
    </row>
    <row r="423" spans="1:15" ht="15" customHeight="1">
      <c r="A423" t="s">
        <v>1078</v>
      </c>
      <c r="D423" t="s">
        <v>1050</v>
      </c>
      <c r="E423" t="s">
        <v>1050</v>
      </c>
      <c r="F423" t="s">
        <v>1079</v>
      </c>
      <c r="G423" t="str">
        <f>_xlfn.XLOOKUP(F423,'NPO Caseware'!G:G,'NPO Caseware'!H:H)</f>
        <v>PBC</v>
      </c>
      <c r="H423" t="str">
        <f>_xlfn.XLOOKUP(F423,'NPO Caseware'!G:G,'NPO Caseware'!I:I)</f>
        <v>Any</v>
      </c>
      <c r="J423" s="3" t="s">
        <v>1080</v>
      </c>
      <c r="L423" s="7" t="s">
        <v>17</v>
      </c>
      <c r="M423" s="8" t="s">
        <v>1054</v>
      </c>
      <c r="N423" s="8"/>
      <c r="O423" s="8"/>
    </row>
    <row r="424" spans="1:15" ht="15" customHeight="1">
      <c r="A424" t="s">
        <v>1081</v>
      </c>
      <c r="D424" t="s">
        <v>1050</v>
      </c>
      <c r="E424" t="s">
        <v>1050</v>
      </c>
      <c r="F424" t="s">
        <v>1082</v>
      </c>
      <c r="G424" t="str">
        <f>_xlfn.XLOOKUP(F424,'NPO Caseware'!G:G,'NPO Caseware'!H:H)</f>
        <v>PBC</v>
      </c>
      <c r="H424" t="str">
        <f>_xlfn.XLOOKUP(F424,'NPO Caseware'!G:G,'NPO Caseware'!I:I)</f>
        <v>Any</v>
      </c>
      <c r="J424" s="3"/>
      <c r="L424" s="7" t="s">
        <v>17</v>
      </c>
      <c r="M424" s="8" t="s">
        <v>1054</v>
      </c>
      <c r="N424" s="8"/>
      <c r="O424" s="8"/>
    </row>
    <row r="425" spans="1:15" ht="15" customHeight="1">
      <c r="A425" t="s">
        <v>1083</v>
      </c>
      <c r="D425" t="s">
        <v>1050</v>
      </c>
      <c r="E425" t="s">
        <v>1050</v>
      </c>
      <c r="F425" t="s">
        <v>1084</v>
      </c>
      <c r="G425" t="str">
        <f>_xlfn.XLOOKUP(F425,'NPO Caseware'!G:G,'NPO Caseware'!H:H)</f>
        <v>PBC</v>
      </c>
      <c r="H425" t="str">
        <f>_xlfn.XLOOKUP(F425,'NPO Caseware'!G:G,'NPO Caseware'!I:I)</f>
        <v>Any</v>
      </c>
      <c r="J425" s="3" t="s">
        <v>1085</v>
      </c>
      <c r="L425" s="7" t="s">
        <v>17</v>
      </c>
      <c r="M425" s="8" t="s">
        <v>573</v>
      </c>
      <c r="N425" s="8"/>
      <c r="O425" s="8"/>
    </row>
    <row r="426" spans="1:15" ht="15" customHeight="1">
      <c r="A426" t="s">
        <v>1086</v>
      </c>
      <c r="D426" t="s">
        <v>1050</v>
      </c>
      <c r="E426" t="s">
        <v>1050</v>
      </c>
      <c r="F426" t="s">
        <v>1084</v>
      </c>
      <c r="G426" t="str">
        <f>_xlfn.XLOOKUP(F426,'NPO Caseware'!G:G,'NPO Caseware'!H:H)</f>
        <v>PBC</v>
      </c>
      <c r="H426" t="str">
        <f>_xlfn.XLOOKUP(F426,'NPO Caseware'!G:G,'NPO Caseware'!I:I)</f>
        <v>Any</v>
      </c>
      <c r="J426" s="3"/>
      <c r="L426" s="7" t="s">
        <v>17</v>
      </c>
      <c r="M426" s="8" t="s">
        <v>573</v>
      </c>
      <c r="N426" s="8"/>
      <c r="O426" s="8"/>
    </row>
    <row r="427" spans="1:15" ht="15" customHeight="1">
      <c r="A427" t="s">
        <v>1087</v>
      </c>
      <c r="D427" t="s">
        <v>1050</v>
      </c>
      <c r="E427" t="s">
        <v>1050</v>
      </c>
      <c r="F427" t="s">
        <v>1088</v>
      </c>
      <c r="G427" t="str">
        <f>_xlfn.XLOOKUP(F427,'NPO Caseware'!G:G,'NPO Caseware'!H:H)</f>
        <v>PBC</v>
      </c>
      <c r="H427" t="str">
        <f>_xlfn.XLOOKUP(F427,'NPO Caseware'!G:G,'NPO Caseware'!I:I)</f>
        <v>Any</v>
      </c>
      <c r="J427" s="3" t="s">
        <v>1089</v>
      </c>
      <c r="L427" s="7" t="s">
        <v>17</v>
      </c>
      <c r="M427" s="8" t="s">
        <v>1054</v>
      </c>
      <c r="N427" s="8"/>
      <c r="O427" s="8"/>
    </row>
    <row r="428" spans="1:15" ht="15" customHeight="1">
      <c r="A428" t="s">
        <v>1090</v>
      </c>
      <c r="D428" t="s">
        <v>1050</v>
      </c>
      <c r="E428" t="s">
        <v>1050</v>
      </c>
      <c r="F428" t="s">
        <v>1091</v>
      </c>
      <c r="G428" t="str">
        <f>_xlfn.XLOOKUP(F428,'NPO Caseware'!G:G,'NPO Caseware'!H:H)</f>
        <v>PBC</v>
      </c>
      <c r="H428" t="str">
        <f>_xlfn.XLOOKUP(F428,'NPO Caseware'!G:G,'NPO Caseware'!I:I)</f>
        <v>Any</v>
      </c>
      <c r="J428" s="3"/>
      <c r="L428" s="7" t="s">
        <v>17</v>
      </c>
      <c r="M428" s="8" t="s">
        <v>1054</v>
      </c>
      <c r="N428" s="8"/>
      <c r="O428" s="8"/>
    </row>
    <row r="429" spans="1:15" ht="15" customHeight="1">
      <c r="A429" t="s">
        <v>1092</v>
      </c>
      <c r="D429" t="s">
        <v>1050</v>
      </c>
      <c r="E429" t="s">
        <v>1050</v>
      </c>
      <c r="F429" t="s">
        <v>1093</v>
      </c>
      <c r="G429" t="str">
        <f>_xlfn.XLOOKUP(F429,'NPO Caseware'!G:G,'NPO Caseware'!H:H)</f>
        <v>PBC</v>
      </c>
      <c r="H429" t="str">
        <f>_xlfn.XLOOKUP(F429,'NPO Caseware'!G:G,'NPO Caseware'!I:I)</f>
        <v>Any</v>
      </c>
      <c r="J429" s="3"/>
      <c r="L429" s="7" t="s">
        <v>17</v>
      </c>
      <c r="M429" s="8" t="s">
        <v>1054</v>
      </c>
      <c r="N429" s="8"/>
      <c r="O429" s="8"/>
    </row>
    <row r="430" spans="1:15" ht="15" customHeight="1">
      <c r="A430" t="s">
        <v>1094</v>
      </c>
      <c r="D430" t="s">
        <v>1050</v>
      </c>
      <c r="E430" t="s">
        <v>1050</v>
      </c>
      <c r="F430" t="s">
        <v>1095</v>
      </c>
      <c r="G430" t="str">
        <f>_xlfn.XLOOKUP(F430,'NPO Caseware'!G:G,'NPO Caseware'!H:H)</f>
        <v>PBC</v>
      </c>
      <c r="H430" t="str">
        <f>_xlfn.XLOOKUP(F430,'NPO Caseware'!G:G,'NPO Caseware'!I:I)</f>
        <v>Any</v>
      </c>
      <c r="J430" s="3"/>
      <c r="L430" s="7" t="s">
        <v>17</v>
      </c>
      <c r="M430" s="8" t="s">
        <v>1054</v>
      </c>
      <c r="N430" s="8"/>
      <c r="O430" s="8"/>
    </row>
    <row r="431" spans="1:15" ht="15" customHeight="1">
      <c r="A431" t="s">
        <v>1096</v>
      </c>
      <c r="D431" t="s">
        <v>1050</v>
      </c>
      <c r="E431" t="s">
        <v>1050</v>
      </c>
      <c r="F431" t="s">
        <v>1097</v>
      </c>
      <c r="G431" t="str">
        <f>_xlfn.XLOOKUP(F431,'NPO Caseware'!G:G,'NPO Caseware'!H:H)</f>
        <v>PBC</v>
      </c>
      <c r="H431" t="str">
        <f>_xlfn.XLOOKUP(F431,'NPO Caseware'!G:G,'NPO Caseware'!I:I)</f>
        <v>Any</v>
      </c>
      <c r="J431" s="3"/>
      <c r="L431" s="7" t="s">
        <v>17</v>
      </c>
      <c r="M431" s="8" t="s">
        <v>1054</v>
      </c>
      <c r="N431" s="8"/>
      <c r="O431" s="8"/>
    </row>
    <row r="432" spans="1:15" ht="15" customHeight="1">
      <c r="A432" t="s">
        <v>1098</v>
      </c>
      <c r="D432" t="s">
        <v>1050</v>
      </c>
      <c r="E432" t="s">
        <v>1050</v>
      </c>
      <c r="F432" t="s">
        <v>1099</v>
      </c>
      <c r="G432" t="str">
        <f>_xlfn.XLOOKUP(F432,'NPO Caseware'!G:G,'NPO Caseware'!H:H)</f>
        <v>PBC</v>
      </c>
      <c r="H432" t="str">
        <f>_xlfn.XLOOKUP(F432,'NPO Caseware'!G:G,'NPO Caseware'!I:I)</f>
        <v>Any</v>
      </c>
      <c r="J432" s="3" t="s">
        <v>1100</v>
      </c>
      <c r="L432" s="7" t="s">
        <v>17</v>
      </c>
      <c r="M432" s="8" t="s">
        <v>1054</v>
      </c>
      <c r="N432" s="8"/>
      <c r="O432" s="8"/>
    </row>
    <row r="433" spans="1:15" ht="26.45">
      <c r="A433" t="s">
        <v>1101</v>
      </c>
      <c r="D433" t="s">
        <v>1050</v>
      </c>
      <c r="E433" t="s">
        <v>1050</v>
      </c>
      <c r="F433" t="s">
        <v>1102</v>
      </c>
      <c r="G433" t="str">
        <f>_xlfn.XLOOKUP(F433,'NPO Caseware'!G:G,'NPO Caseware'!H:H)</f>
        <v>PBC</v>
      </c>
      <c r="H433" t="str">
        <f>_xlfn.XLOOKUP(F433,'NPO Caseware'!G:G,'NPO Caseware'!I:I)</f>
        <v>Any</v>
      </c>
      <c r="L433" s="7" t="s">
        <v>17</v>
      </c>
      <c r="M433" s="8" t="s">
        <v>1054</v>
      </c>
      <c r="N433" s="8"/>
      <c r="O433" s="8"/>
    </row>
  </sheetData>
  <autoFilter ref="A1:O485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1"/>
  <sheetViews>
    <sheetView tabSelected="1" zoomScale="70" zoomScaleNormal="70" workbookViewId="0">
      <pane ySplit="2" topLeftCell="G3" activePane="bottomLeft" state="frozen"/>
      <selection pane="bottomLeft" activeCell="N8" sqref="N8"/>
      <selection activeCell="E5" sqref="E5"/>
    </sheetView>
  </sheetViews>
  <sheetFormatPr defaultColWidth="8.85546875" defaultRowHeight="15" customHeight="1"/>
  <cols>
    <col min="2" max="2" width="12.140625" customWidth="1"/>
    <col min="3" max="3" width="24.42578125" customWidth="1"/>
    <col min="4" max="4" width="21.7109375" customWidth="1"/>
    <col min="5" max="5" width="15.5703125" customWidth="1"/>
    <col min="6" max="6" width="22.140625" customWidth="1"/>
    <col min="7" max="7" width="95.7109375" customWidth="1"/>
    <col min="8" max="9" width="16.42578125" customWidth="1"/>
    <col min="10" max="10" width="14.28515625" customWidth="1"/>
    <col min="11" max="11" width="9" customWidth="1"/>
    <col min="12" max="12" width="20.28515625" customWidth="1"/>
    <col min="13" max="13" width="13" customWidth="1"/>
    <col min="14" max="14" width="14" customWidth="1"/>
    <col min="15" max="15" width="16" customWidth="1"/>
    <col min="16" max="16" width="50" customWidth="1"/>
    <col min="17" max="18" width="28" customWidth="1"/>
  </cols>
  <sheetData>
    <row r="1" spans="2:18" ht="14.45"/>
    <row r="2" spans="2:18" ht="15" customHeight="1">
      <c r="B2" s="2" t="s">
        <v>0</v>
      </c>
      <c r="C2" s="2" t="s">
        <v>1</v>
      </c>
      <c r="D2" s="2" t="s">
        <v>2</v>
      </c>
      <c r="E2" s="2" t="s">
        <v>3</v>
      </c>
      <c r="F2" s="15" t="s">
        <v>4</v>
      </c>
      <c r="G2" s="2" t="s">
        <v>5</v>
      </c>
      <c r="H2" s="2" t="s">
        <v>6</v>
      </c>
      <c r="I2" s="2" t="s">
        <v>7</v>
      </c>
      <c r="J2" s="2" t="s">
        <v>1103</v>
      </c>
      <c r="K2" s="2" t="s">
        <v>1104</v>
      </c>
      <c r="L2" s="15" t="s">
        <v>8</v>
      </c>
      <c r="M2" s="16" t="s">
        <v>9</v>
      </c>
      <c r="N2" s="17" t="s">
        <v>1105</v>
      </c>
      <c r="O2" s="6" t="s">
        <v>10</v>
      </c>
      <c r="P2" s="6" t="s">
        <v>11</v>
      </c>
      <c r="Q2" s="6" t="s">
        <v>12</v>
      </c>
      <c r="R2" s="6" t="s">
        <v>13</v>
      </c>
    </row>
    <row r="3" spans="2:18" ht="15" customHeight="1">
      <c r="B3" s="9" t="s">
        <v>14</v>
      </c>
      <c r="C3" s="9" t="s">
        <v>1106</v>
      </c>
      <c r="D3" s="9" t="s">
        <v>1107</v>
      </c>
      <c r="E3" s="15" t="s">
        <v>4</v>
      </c>
      <c r="F3" s="9" t="s">
        <v>15</v>
      </c>
      <c r="G3" s="9" t="s">
        <v>16</v>
      </c>
      <c r="H3" s="9" t="s">
        <v>58</v>
      </c>
      <c r="I3" s="9" t="s">
        <v>83</v>
      </c>
      <c r="J3" s="9" t="s">
        <v>1108</v>
      </c>
      <c r="K3" s="9"/>
      <c r="L3" s="9"/>
      <c r="M3" s="9"/>
      <c r="N3" s="9"/>
      <c r="O3" s="7" t="s">
        <v>17</v>
      </c>
      <c r="P3" s="8" t="s">
        <v>18</v>
      </c>
      <c r="Q3" s="8"/>
      <c r="R3" s="8"/>
    </row>
    <row r="4" spans="2:18" ht="15" customHeight="1">
      <c r="B4" s="9" t="s">
        <v>19</v>
      </c>
      <c r="C4" s="9" t="s">
        <v>1106</v>
      </c>
      <c r="D4" s="9" t="s">
        <v>1107</v>
      </c>
      <c r="E4" s="15" t="s">
        <v>4</v>
      </c>
      <c r="F4" s="9" t="s">
        <v>15</v>
      </c>
      <c r="G4" s="9" t="s">
        <v>20</v>
      </c>
      <c r="H4" s="9" t="s">
        <v>58</v>
      </c>
      <c r="I4" s="9" t="s">
        <v>83</v>
      </c>
      <c r="J4" s="9" t="s">
        <v>1108</v>
      </c>
      <c r="K4" s="9"/>
      <c r="L4" s="9"/>
      <c r="M4" s="9"/>
      <c r="N4" s="9"/>
      <c r="O4" s="7" t="s">
        <v>17</v>
      </c>
      <c r="P4" s="8" t="s">
        <v>21</v>
      </c>
      <c r="Q4" s="8"/>
      <c r="R4" s="8"/>
    </row>
    <row r="5" spans="2:18" ht="15" customHeight="1">
      <c r="B5" s="9" t="s">
        <v>22</v>
      </c>
      <c r="C5" s="9" t="s">
        <v>1106</v>
      </c>
      <c r="D5" s="9" t="s">
        <v>1107</v>
      </c>
      <c r="E5" s="15" t="s">
        <v>4</v>
      </c>
      <c r="F5" s="9" t="s">
        <v>15</v>
      </c>
      <c r="G5" s="9" t="s">
        <v>23</v>
      </c>
      <c r="H5" s="9" t="s">
        <v>58</v>
      </c>
      <c r="I5" s="9" t="s">
        <v>59</v>
      </c>
      <c r="J5" s="9" t="s">
        <v>1108</v>
      </c>
      <c r="K5" s="9"/>
      <c r="L5" s="9"/>
      <c r="M5" s="9"/>
      <c r="N5" s="9"/>
      <c r="O5" s="7" t="s">
        <v>17</v>
      </c>
      <c r="P5" s="8" t="s">
        <v>24</v>
      </c>
      <c r="Q5" s="8"/>
      <c r="R5" s="8"/>
    </row>
    <row r="6" spans="2:18" ht="15" customHeight="1">
      <c r="B6" s="9" t="s">
        <v>25</v>
      </c>
      <c r="C6" s="9" t="s">
        <v>1106</v>
      </c>
      <c r="D6" s="9" t="s">
        <v>1107</v>
      </c>
      <c r="E6" s="15" t="s">
        <v>4</v>
      </c>
      <c r="F6" s="9" t="s">
        <v>15</v>
      </c>
      <c r="G6" s="9" t="s">
        <v>26</v>
      </c>
      <c r="H6" s="9" t="s">
        <v>31</v>
      </c>
      <c r="I6" s="9" t="s">
        <v>32</v>
      </c>
      <c r="J6" s="9" t="s">
        <v>1108</v>
      </c>
      <c r="K6" s="9"/>
      <c r="L6" s="9" t="s">
        <v>1109</v>
      </c>
      <c r="M6" s="9"/>
      <c r="N6" s="9"/>
      <c r="O6" s="7" t="s">
        <v>17</v>
      </c>
      <c r="P6" s="8" t="s">
        <v>28</v>
      </c>
      <c r="Q6" s="8"/>
      <c r="R6" s="8"/>
    </row>
    <row r="7" spans="2:18" ht="15" customHeight="1">
      <c r="B7" s="9" t="s">
        <v>29</v>
      </c>
      <c r="C7" s="9" t="s">
        <v>1106</v>
      </c>
      <c r="D7" s="9" t="s">
        <v>1107</v>
      </c>
      <c r="E7" s="15" t="s">
        <v>4</v>
      </c>
      <c r="F7" s="9" t="s">
        <v>15</v>
      </c>
      <c r="G7" s="9" t="s">
        <v>1110</v>
      </c>
      <c r="H7" s="9" t="s">
        <v>31</v>
      </c>
      <c r="I7" s="9" t="s">
        <v>32</v>
      </c>
      <c r="J7" s="9" t="s">
        <v>1108</v>
      </c>
      <c r="K7" s="9"/>
      <c r="L7" s="9" t="s">
        <v>1111</v>
      </c>
      <c r="M7" s="9" t="s">
        <v>34</v>
      </c>
      <c r="N7" s="9"/>
      <c r="O7" s="7" t="s">
        <v>17</v>
      </c>
      <c r="P7" s="8" t="s">
        <v>35</v>
      </c>
      <c r="Q7" s="8"/>
      <c r="R7" s="8"/>
    </row>
    <row r="8" spans="2:18" ht="15" customHeight="1">
      <c r="B8" s="9" t="s">
        <v>36</v>
      </c>
      <c r="C8" s="9" t="s">
        <v>1112</v>
      </c>
      <c r="D8" s="9" t="s">
        <v>1107</v>
      </c>
      <c r="E8" s="15" t="s">
        <v>4</v>
      </c>
      <c r="F8" s="9" t="s">
        <v>15</v>
      </c>
      <c r="G8" s="9" t="s">
        <v>1113</v>
      </c>
      <c r="H8" s="9" t="s">
        <v>31</v>
      </c>
      <c r="I8" s="9" t="s">
        <v>32</v>
      </c>
      <c r="J8" s="9" t="s">
        <v>1108</v>
      </c>
      <c r="K8" s="9"/>
      <c r="L8" s="9" t="s">
        <v>1114</v>
      </c>
      <c r="M8" s="9"/>
      <c r="N8" s="9"/>
      <c r="O8" s="7" t="s">
        <v>17</v>
      </c>
      <c r="P8" s="8" t="s">
        <v>39</v>
      </c>
      <c r="Q8" s="8"/>
      <c r="R8" s="8"/>
    </row>
    <row r="9" spans="2:18" ht="15" customHeight="1">
      <c r="B9" s="9" t="s">
        <v>40</v>
      </c>
      <c r="C9" s="9" t="s">
        <v>1106</v>
      </c>
      <c r="D9" s="9" t="s">
        <v>1115</v>
      </c>
      <c r="E9" s="15" t="s">
        <v>4</v>
      </c>
      <c r="F9" s="9" t="s">
        <v>15</v>
      </c>
      <c r="G9" s="9" t="s">
        <v>41</v>
      </c>
      <c r="H9" s="9" t="s">
        <v>82</v>
      </c>
      <c r="I9" s="9" t="s">
        <v>83</v>
      </c>
      <c r="J9" s="9" t="s">
        <v>1116</v>
      </c>
      <c r="K9" s="9"/>
      <c r="L9" s="9"/>
      <c r="M9" s="9"/>
      <c r="N9" s="9"/>
      <c r="O9" s="7" t="s">
        <v>17</v>
      </c>
      <c r="P9" s="8" t="s">
        <v>42</v>
      </c>
      <c r="Q9" s="8"/>
      <c r="R9" s="8"/>
    </row>
    <row r="10" spans="2:18" ht="15" customHeight="1">
      <c r="B10" s="9" t="s">
        <v>43</v>
      </c>
      <c r="C10" s="9" t="s">
        <v>1106</v>
      </c>
      <c r="D10" s="9" t="s">
        <v>1115</v>
      </c>
      <c r="E10" s="15" t="s">
        <v>4</v>
      </c>
      <c r="F10" s="9" t="s">
        <v>15</v>
      </c>
      <c r="G10" s="9" t="s">
        <v>44</v>
      </c>
      <c r="H10" s="9" t="s">
        <v>31</v>
      </c>
      <c r="I10" s="9" t="s">
        <v>32</v>
      </c>
      <c r="J10" s="9" t="s">
        <v>1108</v>
      </c>
      <c r="K10" s="9"/>
      <c r="L10" s="9" t="s">
        <v>1117</v>
      </c>
      <c r="M10" s="9"/>
      <c r="N10" s="9"/>
      <c r="O10" s="7" t="s">
        <v>17</v>
      </c>
      <c r="P10" s="8" t="s">
        <v>42</v>
      </c>
      <c r="Q10" s="8"/>
      <c r="R10" s="8"/>
    </row>
    <row r="11" spans="2:18" ht="15" customHeight="1">
      <c r="B11" s="9" t="s">
        <v>46</v>
      </c>
      <c r="C11" s="9" t="s">
        <v>1118</v>
      </c>
      <c r="D11" s="9" t="s">
        <v>1119</v>
      </c>
      <c r="E11" s="15" t="s">
        <v>4</v>
      </c>
      <c r="F11" s="9" t="s">
        <v>15</v>
      </c>
      <c r="G11" s="9" t="s">
        <v>47</v>
      </c>
      <c r="H11" s="9" t="s">
        <v>58</v>
      </c>
      <c r="I11" s="9" t="s">
        <v>83</v>
      </c>
      <c r="J11" s="9" t="s">
        <v>1108</v>
      </c>
      <c r="K11" s="9"/>
      <c r="L11" s="9"/>
      <c r="M11" s="9"/>
      <c r="N11" s="9"/>
      <c r="O11" s="7" t="s">
        <v>17</v>
      </c>
      <c r="P11" s="8" t="s">
        <v>35</v>
      </c>
      <c r="Q11" s="8"/>
      <c r="R11" s="8"/>
    </row>
    <row r="12" spans="2:18" ht="15" customHeight="1">
      <c r="B12" s="9" t="s">
        <v>48</v>
      </c>
      <c r="C12" s="9" t="s">
        <v>1112</v>
      </c>
      <c r="D12" s="9" t="s">
        <v>1120</v>
      </c>
      <c r="E12" s="15" t="s">
        <v>4</v>
      </c>
      <c r="F12" s="9" t="s">
        <v>15</v>
      </c>
      <c r="G12" s="9" t="s">
        <v>49</v>
      </c>
      <c r="H12" s="9" t="s">
        <v>58</v>
      </c>
      <c r="I12" s="9" t="s">
        <v>83</v>
      </c>
      <c r="J12" s="9" t="s">
        <v>1116</v>
      </c>
      <c r="K12" s="9"/>
      <c r="L12" s="9"/>
      <c r="M12" s="9"/>
      <c r="N12" s="9"/>
      <c r="O12" s="7" t="s">
        <v>17</v>
      </c>
      <c r="P12" s="8" t="s">
        <v>18</v>
      </c>
      <c r="Q12" s="8"/>
      <c r="R12" s="8"/>
    </row>
    <row r="13" spans="2:18" ht="15" customHeight="1">
      <c r="B13" s="9" t="s">
        <v>50</v>
      </c>
      <c r="C13" s="9" t="s">
        <v>1106</v>
      </c>
      <c r="D13" s="9" t="s">
        <v>1120</v>
      </c>
      <c r="E13" s="15" t="s">
        <v>4</v>
      </c>
      <c r="F13" s="9" t="s">
        <v>15</v>
      </c>
      <c r="G13" s="9" t="s">
        <v>51</v>
      </c>
      <c r="H13" s="9" t="s">
        <v>31</v>
      </c>
      <c r="I13" s="9" t="s">
        <v>32</v>
      </c>
      <c r="J13" s="9" t="s">
        <v>1108</v>
      </c>
      <c r="K13" s="9"/>
      <c r="L13" s="9" t="s">
        <v>1121</v>
      </c>
      <c r="M13" s="9"/>
      <c r="N13" s="9"/>
      <c r="O13" s="7" t="s">
        <v>17</v>
      </c>
      <c r="P13" s="8" t="s">
        <v>53</v>
      </c>
      <c r="Q13" s="8"/>
      <c r="R13" s="8"/>
    </row>
    <row r="14" spans="2:18" ht="15" customHeight="1">
      <c r="B14" s="9" t="s">
        <v>54</v>
      </c>
      <c r="C14" s="9" t="s">
        <v>1106</v>
      </c>
      <c r="D14" s="9" t="s">
        <v>1120</v>
      </c>
      <c r="E14" s="15" t="s">
        <v>4</v>
      </c>
      <c r="F14" s="9" t="s">
        <v>15</v>
      </c>
      <c r="G14" s="9" t="s">
        <v>55</v>
      </c>
      <c r="H14" s="9" t="s">
        <v>58</v>
      </c>
      <c r="I14" s="9" t="s">
        <v>1122</v>
      </c>
      <c r="J14" s="9" t="s">
        <v>1108</v>
      </c>
      <c r="K14" s="9"/>
      <c r="L14" s="9"/>
      <c r="M14" s="9"/>
      <c r="N14" s="9"/>
      <c r="O14" s="7" t="s">
        <v>17</v>
      </c>
      <c r="P14" s="8" t="s">
        <v>35</v>
      </c>
      <c r="Q14" s="8"/>
      <c r="R14" s="8"/>
    </row>
    <row r="15" spans="2:18" ht="15" customHeight="1">
      <c r="B15" s="9" t="s">
        <v>56</v>
      </c>
      <c r="C15" s="9" t="s">
        <v>1123</v>
      </c>
      <c r="D15" s="9" t="s">
        <v>1124</v>
      </c>
      <c r="E15" s="15" t="s">
        <v>4</v>
      </c>
      <c r="F15" s="9" t="s">
        <v>15</v>
      </c>
      <c r="G15" s="9" t="s">
        <v>1125</v>
      </c>
      <c r="H15" s="9" t="s">
        <v>58</v>
      </c>
      <c r="I15" s="9" t="s">
        <v>59</v>
      </c>
      <c r="J15" s="9" t="s">
        <v>1108</v>
      </c>
      <c r="K15" s="9"/>
      <c r="L15" s="9"/>
      <c r="M15" s="9"/>
      <c r="N15" s="9"/>
      <c r="O15" s="7" t="s">
        <v>17</v>
      </c>
      <c r="P15" s="8" t="s">
        <v>60</v>
      </c>
      <c r="Q15" s="8"/>
      <c r="R15" s="8"/>
    </row>
    <row r="16" spans="2:18" ht="15" customHeight="1">
      <c r="B16" s="9" t="s">
        <v>67</v>
      </c>
      <c r="C16" s="9" t="s">
        <v>1106</v>
      </c>
      <c r="D16" s="9" t="s">
        <v>1115</v>
      </c>
      <c r="E16" s="15" t="s">
        <v>4</v>
      </c>
      <c r="F16" s="9" t="s">
        <v>15</v>
      </c>
      <c r="G16" s="9" t="s">
        <v>68</v>
      </c>
      <c r="H16" s="9" t="s">
        <v>31</v>
      </c>
      <c r="I16" s="9" t="s">
        <v>32</v>
      </c>
      <c r="J16" s="9" t="s">
        <v>1108</v>
      </c>
      <c r="K16" s="9"/>
      <c r="L16" s="9" t="s">
        <v>1126</v>
      </c>
      <c r="M16" s="9"/>
      <c r="N16" s="9"/>
      <c r="O16" s="7" t="s">
        <v>17</v>
      </c>
      <c r="P16" s="8" t="s">
        <v>35</v>
      </c>
      <c r="Q16" s="8"/>
      <c r="R16" s="8"/>
    </row>
    <row r="17" spans="2:18" ht="15" customHeight="1">
      <c r="B17" s="9" t="s">
        <v>70</v>
      </c>
      <c r="C17" s="9" t="s">
        <v>1106</v>
      </c>
      <c r="D17" s="9" t="s">
        <v>1107</v>
      </c>
      <c r="E17" s="15" t="s">
        <v>4</v>
      </c>
      <c r="F17" s="9" t="s">
        <v>15</v>
      </c>
      <c r="G17" s="9" t="s">
        <v>71</v>
      </c>
      <c r="H17" s="9" t="s">
        <v>31</v>
      </c>
      <c r="I17" s="9" t="s">
        <v>32</v>
      </c>
      <c r="J17" s="9" t="s">
        <v>1108</v>
      </c>
      <c r="K17" s="9"/>
      <c r="L17" s="9" t="s">
        <v>1127</v>
      </c>
      <c r="M17" s="9"/>
      <c r="N17" s="9"/>
      <c r="O17" s="7" t="s">
        <v>17</v>
      </c>
      <c r="P17" s="8" t="s">
        <v>73</v>
      </c>
      <c r="Q17" s="8"/>
      <c r="R17" s="8"/>
    </row>
    <row r="18" spans="2:18" ht="15" customHeight="1">
      <c r="B18" s="9" t="s">
        <v>74</v>
      </c>
      <c r="C18" s="9" t="s">
        <v>1123</v>
      </c>
      <c r="D18" s="9" t="s">
        <v>1124</v>
      </c>
      <c r="E18" s="15" t="s">
        <v>4</v>
      </c>
      <c r="F18" s="9" t="s">
        <v>15</v>
      </c>
      <c r="G18" s="9" t="s">
        <v>75</v>
      </c>
      <c r="H18" s="9" t="s">
        <v>82</v>
      </c>
      <c r="I18" s="9" t="s">
        <v>83</v>
      </c>
      <c r="J18" s="9" t="s">
        <v>1116</v>
      </c>
      <c r="K18" s="9"/>
      <c r="L18" s="9"/>
      <c r="M18" s="9"/>
      <c r="N18" s="9"/>
      <c r="O18" s="7" t="s">
        <v>17</v>
      </c>
      <c r="P18" s="8" t="s">
        <v>35</v>
      </c>
      <c r="Q18" s="8"/>
      <c r="R18" s="8"/>
    </row>
    <row r="19" spans="2:18" ht="15" customHeight="1">
      <c r="B19" s="9" t="s">
        <v>76</v>
      </c>
      <c r="C19" s="9" t="s">
        <v>1106</v>
      </c>
      <c r="D19" s="9" t="s">
        <v>1128</v>
      </c>
      <c r="E19" s="15" t="s">
        <v>4</v>
      </c>
      <c r="F19" s="9" t="s">
        <v>15</v>
      </c>
      <c r="G19" s="9" t="s">
        <v>77</v>
      </c>
      <c r="H19" s="9" t="s">
        <v>82</v>
      </c>
      <c r="I19" s="9" t="s">
        <v>83</v>
      </c>
      <c r="J19" s="9" t="s">
        <v>1116</v>
      </c>
      <c r="K19" s="9"/>
      <c r="L19" s="9"/>
      <c r="M19" s="9"/>
      <c r="N19" s="9"/>
      <c r="O19" s="7" t="s">
        <v>17</v>
      </c>
      <c r="P19" s="8" t="s">
        <v>35</v>
      </c>
      <c r="Q19" s="8"/>
      <c r="R19" s="8"/>
    </row>
    <row r="20" spans="2:18" ht="15" customHeight="1">
      <c r="B20" s="9" t="s">
        <v>78</v>
      </c>
      <c r="C20" s="9" t="s">
        <v>1106</v>
      </c>
      <c r="D20" s="9" t="s">
        <v>1128</v>
      </c>
      <c r="E20" s="15" t="s">
        <v>4</v>
      </c>
      <c r="F20" s="9" t="s">
        <v>15</v>
      </c>
      <c r="G20" s="9" t="s">
        <v>79</v>
      </c>
      <c r="H20" s="9" t="s">
        <v>82</v>
      </c>
      <c r="I20" s="9" t="s">
        <v>83</v>
      </c>
      <c r="J20" s="9" t="s">
        <v>1116</v>
      </c>
      <c r="K20" s="9"/>
      <c r="L20" s="9"/>
      <c r="M20" s="9"/>
      <c r="N20" s="9"/>
      <c r="O20" s="7" t="s">
        <v>17</v>
      </c>
      <c r="P20" s="8" t="s">
        <v>35</v>
      </c>
      <c r="Q20" s="8"/>
      <c r="R20" s="8"/>
    </row>
    <row r="21" spans="2:18" ht="15" customHeight="1">
      <c r="B21" s="9" t="s">
        <v>93</v>
      </c>
      <c r="C21" s="9" t="s">
        <v>1112</v>
      </c>
      <c r="D21" s="9" t="s">
        <v>1120</v>
      </c>
      <c r="E21" s="15" t="s">
        <v>94</v>
      </c>
      <c r="F21" s="9" t="s">
        <v>95</v>
      </c>
      <c r="G21" s="9" t="s">
        <v>96</v>
      </c>
      <c r="H21" s="9" t="s">
        <v>58</v>
      </c>
      <c r="I21" s="9" t="s">
        <v>166</v>
      </c>
      <c r="J21" s="9" t="s">
        <v>1108</v>
      </c>
      <c r="K21" s="9"/>
      <c r="L21" s="9"/>
      <c r="M21" s="9"/>
      <c r="N21" s="9"/>
      <c r="O21" s="7" t="s">
        <v>17</v>
      </c>
      <c r="P21" s="8" t="s">
        <v>97</v>
      </c>
      <c r="Q21" s="8"/>
      <c r="R21" s="8"/>
    </row>
    <row r="22" spans="2:18" ht="15" customHeight="1">
      <c r="B22" s="9" t="s">
        <v>98</v>
      </c>
      <c r="C22" s="9" t="s">
        <v>1112</v>
      </c>
      <c r="D22" s="9" t="s">
        <v>1120</v>
      </c>
      <c r="E22" s="15" t="s">
        <v>94</v>
      </c>
      <c r="F22" s="9" t="s">
        <v>95</v>
      </c>
      <c r="G22" s="9" t="s">
        <v>99</v>
      </c>
      <c r="H22" s="9" t="s">
        <v>82</v>
      </c>
      <c r="I22" s="9" t="s">
        <v>32</v>
      </c>
      <c r="J22" s="9" t="s">
        <v>1116</v>
      </c>
      <c r="K22" s="9"/>
      <c r="L22" s="9"/>
      <c r="M22" s="9"/>
      <c r="N22" s="9"/>
      <c r="O22" s="7" t="s">
        <v>17</v>
      </c>
      <c r="P22" s="8" t="s">
        <v>100</v>
      </c>
      <c r="Q22" s="8"/>
      <c r="R22" s="8"/>
    </row>
    <row r="23" spans="2:18" ht="15" customHeight="1">
      <c r="B23" s="9" t="s">
        <v>101</v>
      </c>
      <c r="C23" s="9" t="s">
        <v>1112</v>
      </c>
      <c r="D23" s="9" t="s">
        <v>1120</v>
      </c>
      <c r="E23" s="15" t="s">
        <v>94</v>
      </c>
      <c r="F23" s="9" t="s">
        <v>95</v>
      </c>
      <c r="G23" s="9" t="s">
        <v>102</v>
      </c>
      <c r="H23" s="9" t="s">
        <v>58</v>
      </c>
      <c r="I23" s="9" t="s">
        <v>166</v>
      </c>
      <c r="J23" s="9" t="s">
        <v>1108</v>
      </c>
      <c r="K23" s="9"/>
      <c r="L23" s="9"/>
      <c r="M23" s="9"/>
      <c r="N23" s="9"/>
      <c r="O23" s="7" t="s">
        <v>17</v>
      </c>
      <c r="P23" s="8" t="s">
        <v>97</v>
      </c>
      <c r="Q23" s="8"/>
      <c r="R23" s="8"/>
    </row>
    <row r="24" spans="2:18" ht="15" customHeight="1">
      <c r="B24" s="9" t="s">
        <v>103</v>
      </c>
      <c r="C24" s="9" t="s">
        <v>1112</v>
      </c>
      <c r="D24" s="9" t="s">
        <v>1120</v>
      </c>
      <c r="E24" s="15" t="s">
        <v>94</v>
      </c>
      <c r="F24" s="9" t="s">
        <v>95</v>
      </c>
      <c r="G24" s="9" t="s">
        <v>104</v>
      </c>
      <c r="H24" s="9" t="s">
        <v>58</v>
      </c>
      <c r="I24" s="9" t="s">
        <v>166</v>
      </c>
      <c r="J24" s="9" t="s">
        <v>1108</v>
      </c>
      <c r="K24" s="9"/>
      <c r="L24" s="9"/>
      <c r="M24" s="9"/>
      <c r="N24" s="9"/>
      <c r="O24" s="7" t="s">
        <v>17</v>
      </c>
      <c r="P24" s="8" t="s">
        <v>97</v>
      </c>
      <c r="Q24" s="8"/>
      <c r="R24" s="8"/>
    </row>
    <row r="25" spans="2:18" ht="15" customHeight="1">
      <c r="B25" s="9" t="s">
        <v>105</v>
      </c>
      <c r="C25" s="9" t="s">
        <v>1106</v>
      </c>
      <c r="D25" s="9" t="s">
        <v>1129</v>
      </c>
      <c r="E25" s="15" t="s">
        <v>94</v>
      </c>
      <c r="F25" s="9" t="s">
        <v>95</v>
      </c>
      <c r="G25" s="9" t="s">
        <v>106</v>
      </c>
      <c r="H25" s="9" t="s">
        <v>31</v>
      </c>
      <c r="I25" s="9" t="s">
        <v>32</v>
      </c>
      <c r="J25" s="9" t="s">
        <v>1108</v>
      </c>
      <c r="K25" s="9"/>
      <c r="L25" s="9" t="s">
        <v>1130</v>
      </c>
      <c r="M25" s="9"/>
      <c r="N25" s="9"/>
      <c r="O25" s="7" t="s">
        <v>17</v>
      </c>
      <c r="P25" s="8" t="s">
        <v>108</v>
      </c>
      <c r="Q25" s="8"/>
      <c r="R25" s="8"/>
    </row>
    <row r="26" spans="2:18" ht="15" customHeight="1">
      <c r="B26" s="9" t="s">
        <v>109</v>
      </c>
      <c r="C26" s="9"/>
      <c r="D26" s="9"/>
      <c r="E26" s="15" t="s">
        <v>94</v>
      </c>
      <c r="F26" s="9" t="s">
        <v>95</v>
      </c>
      <c r="G26" s="9" t="s">
        <v>110</v>
      </c>
      <c r="H26" s="9" t="s">
        <v>31</v>
      </c>
      <c r="I26" s="9" t="s">
        <v>32</v>
      </c>
      <c r="J26" s="9" t="s">
        <v>1108</v>
      </c>
      <c r="K26" s="9"/>
      <c r="L26" s="9" t="s">
        <v>1131</v>
      </c>
      <c r="M26" s="9"/>
      <c r="N26" s="9"/>
      <c r="O26" s="7" t="s">
        <v>17</v>
      </c>
      <c r="P26" s="8" t="s">
        <v>100</v>
      </c>
      <c r="Q26" s="8"/>
      <c r="R26" s="8"/>
    </row>
    <row r="27" spans="2:18" ht="15" customHeight="1">
      <c r="B27" s="9" t="s">
        <v>111</v>
      </c>
      <c r="C27" s="9" t="s">
        <v>1132</v>
      </c>
      <c r="D27" s="9" t="s">
        <v>1133</v>
      </c>
      <c r="E27" s="15" t="s">
        <v>94</v>
      </c>
      <c r="F27" s="9" t="s">
        <v>95</v>
      </c>
      <c r="G27" s="9" t="s">
        <v>112</v>
      </c>
      <c r="H27" s="9" t="s">
        <v>58</v>
      </c>
      <c r="I27" s="9" t="s">
        <v>32</v>
      </c>
      <c r="J27" s="9" t="s">
        <v>1108</v>
      </c>
      <c r="K27" s="9"/>
      <c r="L27" s="9"/>
      <c r="M27" s="9"/>
      <c r="N27" s="9"/>
      <c r="O27" s="7" t="s">
        <v>17</v>
      </c>
      <c r="P27" s="8" t="s">
        <v>97</v>
      </c>
      <c r="Q27" s="8"/>
      <c r="R27" s="8"/>
    </row>
    <row r="28" spans="2:18" ht="15" customHeight="1">
      <c r="B28" s="9" t="s">
        <v>113</v>
      </c>
      <c r="C28" s="9" t="s">
        <v>1118</v>
      </c>
      <c r="D28" s="9" t="s">
        <v>1119</v>
      </c>
      <c r="E28" s="15" t="s">
        <v>114</v>
      </c>
      <c r="F28" s="15" t="s">
        <v>115</v>
      </c>
      <c r="G28" s="9" t="s">
        <v>1134</v>
      </c>
      <c r="H28" s="9" t="s">
        <v>58</v>
      </c>
      <c r="I28" s="9" t="s">
        <v>166</v>
      </c>
      <c r="J28" s="9" t="s">
        <v>1116</v>
      </c>
      <c r="K28" s="9"/>
      <c r="L28" s="9"/>
      <c r="M28" s="9"/>
      <c r="N28" s="9"/>
      <c r="O28" s="7" t="s">
        <v>17</v>
      </c>
      <c r="P28" s="8" t="s">
        <v>118</v>
      </c>
      <c r="Q28" s="8"/>
      <c r="R28" s="8"/>
    </row>
    <row r="29" spans="2:18" ht="15" customHeight="1">
      <c r="B29" s="9" t="s">
        <v>125</v>
      </c>
      <c r="C29" s="9" t="s">
        <v>1118</v>
      </c>
      <c r="D29" s="9" t="s">
        <v>1119</v>
      </c>
      <c r="E29" s="15" t="s">
        <v>114</v>
      </c>
      <c r="F29" s="15" t="s">
        <v>115</v>
      </c>
      <c r="G29" s="9" t="s">
        <v>1135</v>
      </c>
      <c r="H29" s="9" t="s">
        <v>58</v>
      </c>
      <c r="I29" s="9" t="s">
        <v>59</v>
      </c>
      <c r="J29" s="18" t="s">
        <v>1108</v>
      </c>
      <c r="K29" s="9"/>
      <c r="L29" s="9"/>
      <c r="M29" s="9"/>
      <c r="N29" s="9"/>
      <c r="O29" s="7" t="s">
        <v>17</v>
      </c>
      <c r="P29" s="8" t="s">
        <v>118</v>
      </c>
      <c r="Q29" s="8"/>
      <c r="R29" s="8"/>
    </row>
    <row r="30" spans="2:18" ht="15" customHeight="1">
      <c r="B30" s="9" t="s">
        <v>127</v>
      </c>
      <c r="C30" s="9" t="s">
        <v>1136</v>
      </c>
      <c r="D30" s="9" t="s">
        <v>1137</v>
      </c>
      <c r="E30" s="15" t="s">
        <v>114</v>
      </c>
      <c r="F30" s="15" t="s">
        <v>115</v>
      </c>
      <c r="G30" s="9" t="s">
        <v>128</v>
      </c>
      <c r="H30" s="9" t="s">
        <v>58</v>
      </c>
      <c r="I30" s="9" t="s">
        <v>117</v>
      </c>
      <c r="J30" s="9" t="s">
        <v>1116</v>
      </c>
      <c r="K30" s="9"/>
      <c r="L30" s="9"/>
      <c r="M30" s="9"/>
      <c r="N30" s="9"/>
      <c r="O30" s="7" t="s">
        <v>17</v>
      </c>
      <c r="P30" s="8" t="s">
        <v>129</v>
      </c>
      <c r="Q30" s="8"/>
      <c r="R30" s="8"/>
    </row>
    <row r="31" spans="2:18" ht="15" customHeight="1">
      <c r="B31" s="9" t="s">
        <v>130</v>
      </c>
      <c r="C31" s="9" t="s">
        <v>1136</v>
      </c>
      <c r="D31" s="9" t="s">
        <v>1137</v>
      </c>
      <c r="E31" s="15" t="s">
        <v>114</v>
      </c>
      <c r="F31" s="15" t="s">
        <v>115</v>
      </c>
      <c r="G31" s="9" t="s">
        <v>131</v>
      </c>
      <c r="H31" s="9" t="s">
        <v>58</v>
      </c>
      <c r="I31" s="9" t="s">
        <v>117</v>
      </c>
      <c r="J31" s="9" t="s">
        <v>1116</v>
      </c>
      <c r="K31" s="9"/>
      <c r="L31" s="9"/>
      <c r="M31" s="9"/>
      <c r="N31" s="9"/>
      <c r="O31" s="7" t="s">
        <v>17</v>
      </c>
      <c r="P31" s="8" t="s">
        <v>132</v>
      </c>
      <c r="Q31" s="8"/>
      <c r="R31" s="8"/>
    </row>
    <row r="32" spans="2:18" ht="15" customHeight="1">
      <c r="B32" s="9" t="s">
        <v>133</v>
      </c>
      <c r="C32" s="9" t="s">
        <v>1136</v>
      </c>
      <c r="D32" s="9" t="s">
        <v>1137</v>
      </c>
      <c r="E32" s="15" t="s">
        <v>114</v>
      </c>
      <c r="F32" s="15" t="s">
        <v>115</v>
      </c>
      <c r="G32" s="9" t="s">
        <v>134</v>
      </c>
      <c r="H32" s="9" t="s">
        <v>58</v>
      </c>
      <c r="I32" s="9" t="s">
        <v>117</v>
      </c>
      <c r="J32" s="9" t="s">
        <v>1116</v>
      </c>
      <c r="K32" s="9"/>
      <c r="L32" s="9"/>
      <c r="M32" s="9"/>
      <c r="N32" s="9"/>
      <c r="O32" s="7" t="s">
        <v>17</v>
      </c>
      <c r="P32" s="8" t="s">
        <v>129</v>
      </c>
      <c r="Q32" s="8"/>
      <c r="R32" s="8"/>
    </row>
    <row r="33" spans="1:18" ht="15" customHeight="1">
      <c r="B33" s="9" t="s">
        <v>135</v>
      </c>
      <c r="C33" s="9" t="s">
        <v>1106</v>
      </c>
      <c r="D33" s="9" t="s">
        <v>1129</v>
      </c>
      <c r="E33" s="15" t="s">
        <v>114</v>
      </c>
      <c r="F33" s="15" t="s">
        <v>115</v>
      </c>
      <c r="G33" s="9" t="s">
        <v>1138</v>
      </c>
      <c r="H33" s="9" t="s">
        <v>31</v>
      </c>
      <c r="I33" s="9" t="s">
        <v>32</v>
      </c>
      <c r="J33" s="9" t="s">
        <v>1108</v>
      </c>
      <c r="K33" s="9"/>
      <c r="L33" s="9" t="s">
        <v>1139</v>
      </c>
      <c r="M33" s="9"/>
      <c r="N33" s="9"/>
      <c r="O33" s="7" t="s">
        <v>17</v>
      </c>
      <c r="P33" s="8" t="s">
        <v>138</v>
      </c>
      <c r="Q33" s="8"/>
      <c r="R33" s="8"/>
    </row>
    <row r="34" spans="1:18" ht="15" customHeight="1">
      <c r="B34" s="9" t="s">
        <v>145</v>
      </c>
      <c r="C34" s="9" t="s">
        <v>1118</v>
      </c>
      <c r="D34" s="9" t="s">
        <v>1140</v>
      </c>
      <c r="E34" s="15" t="s">
        <v>146</v>
      </c>
      <c r="F34" s="15" t="s">
        <v>147</v>
      </c>
      <c r="G34" s="9" t="s">
        <v>148</v>
      </c>
      <c r="H34" s="9" t="s">
        <v>31</v>
      </c>
      <c r="I34" s="9" t="s">
        <v>32</v>
      </c>
      <c r="J34" s="9" t="s">
        <v>1108</v>
      </c>
      <c r="K34" s="9"/>
      <c r="L34" s="9" t="s">
        <v>1141</v>
      </c>
      <c r="M34" s="9"/>
      <c r="N34" s="9"/>
      <c r="O34" s="7" t="s">
        <v>17</v>
      </c>
      <c r="P34" s="8" t="s">
        <v>28</v>
      </c>
      <c r="Q34" s="8"/>
      <c r="R34" s="8"/>
    </row>
    <row r="35" spans="1:18" ht="15" customHeight="1">
      <c r="A35" t="s">
        <v>1142</v>
      </c>
      <c r="B35" s="9" t="s">
        <v>150</v>
      </c>
      <c r="C35" s="9" t="s">
        <v>1132</v>
      </c>
      <c r="D35" s="9" t="s">
        <v>1143</v>
      </c>
      <c r="E35" s="15" t="s">
        <v>146</v>
      </c>
      <c r="F35" s="15" t="s">
        <v>147</v>
      </c>
      <c r="G35" s="9" t="s">
        <v>151</v>
      </c>
      <c r="H35" s="9" t="s">
        <v>31</v>
      </c>
      <c r="I35" s="9" t="s">
        <v>32</v>
      </c>
      <c r="J35" s="9" t="s">
        <v>1108</v>
      </c>
      <c r="K35" s="9"/>
      <c r="L35" s="9" t="s">
        <v>1144</v>
      </c>
      <c r="M35" s="9"/>
      <c r="N35" s="9"/>
      <c r="O35" s="7" t="s">
        <v>17</v>
      </c>
      <c r="P35" s="8" t="s">
        <v>153</v>
      </c>
      <c r="Q35" s="8"/>
      <c r="R35" s="8"/>
    </row>
    <row r="36" spans="1:18" ht="15" customHeight="1">
      <c r="B36" s="9" t="s">
        <v>154</v>
      </c>
      <c r="C36" s="9" t="s">
        <v>1132</v>
      </c>
      <c r="D36" s="9" t="s">
        <v>1143</v>
      </c>
      <c r="E36" s="15" t="s">
        <v>146</v>
      </c>
      <c r="F36" s="15" t="s">
        <v>147</v>
      </c>
      <c r="G36" s="9" t="s">
        <v>155</v>
      </c>
      <c r="H36" s="9" t="s">
        <v>31</v>
      </c>
      <c r="I36" s="9" t="s">
        <v>32</v>
      </c>
      <c r="J36" s="9" t="s">
        <v>1108</v>
      </c>
      <c r="K36" s="9"/>
      <c r="L36" s="9" t="s">
        <v>1145</v>
      </c>
      <c r="M36" s="9"/>
      <c r="N36" s="9"/>
      <c r="O36" s="7" t="s">
        <v>17</v>
      </c>
      <c r="P36" s="8" t="s">
        <v>157</v>
      </c>
      <c r="Q36" s="8"/>
      <c r="R36" s="8"/>
    </row>
    <row r="37" spans="1:18" ht="15" customHeight="1">
      <c r="B37" s="9" t="s">
        <v>158</v>
      </c>
      <c r="C37" s="9" t="s">
        <v>1132</v>
      </c>
      <c r="D37" s="9" t="s">
        <v>1143</v>
      </c>
      <c r="E37" s="15" t="s">
        <v>146</v>
      </c>
      <c r="F37" s="15" t="s">
        <v>147</v>
      </c>
      <c r="G37" s="9" t="s">
        <v>159</v>
      </c>
      <c r="H37" s="9" t="s">
        <v>31</v>
      </c>
      <c r="I37" s="9" t="s">
        <v>32</v>
      </c>
      <c r="J37" s="9" t="s">
        <v>1108</v>
      </c>
      <c r="K37" s="9"/>
      <c r="L37" s="9" t="s">
        <v>1146</v>
      </c>
      <c r="M37" s="9"/>
      <c r="N37" s="9"/>
      <c r="O37" s="7" t="s">
        <v>17</v>
      </c>
      <c r="P37" s="8" t="s">
        <v>161</v>
      </c>
      <c r="Q37" s="8"/>
      <c r="R37" s="8"/>
    </row>
    <row r="38" spans="1:18" ht="15" customHeight="1">
      <c r="A38" t="s">
        <v>1142</v>
      </c>
      <c r="B38" s="9" t="s">
        <v>162</v>
      </c>
      <c r="C38" s="9" t="s">
        <v>1132</v>
      </c>
      <c r="D38" s="9" t="s">
        <v>1147</v>
      </c>
      <c r="E38" s="15" t="s">
        <v>146</v>
      </c>
      <c r="F38" s="15" t="s">
        <v>147</v>
      </c>
      <c r="G38" s="9" t="s">
        <v>1148</v>
      </c>
      <c r="H38" s="9" t="s">
        <v>58</v>
      </c>
      <c r="I38" s="9" t="s">
        <v>83</v>
      </c>
      <c r="J38" s="9" t="s">
        <v>1116</v>
      </c>
      <c r="K38" s="9"/>
      <c r="L38" s="9"/>
      <c r="M38" s="9"/>
      <c r="N38" s="9"/>
      <c r="O38" s="7" t="s">
        <v>17</v>
      </c>
      <c r="P38" s="8" t="s">
        <v>153</v>
      </c>
      <c r="Q38" s="8"/>
      <c r="R38" s="8"/>
    </row>
    <row r="39" spans="1:18" ht="15" customHeight="1">
      <c r="A39" t="s">
        <v>1142</v>
      </c>
      <c r="B39" s="9" t="s">
        <v>1149</v>
      </c>
      <c r="C39" s="9" t="s">
        <v>1132</v>
      </c>
      <c r="D39" s="9" t="s">
        <v>1147</v>
      </c>
      <c r="E39" s="15" t="s">
        <v>146</v>
      </c>
      <c r="F39" s="15" t="s">
        <v>147</v>
      </c>
      <c r="G39" s="9" t="s">
        <v>1150</v>
      </c>
      <c r="H39" s="9" t="s">
        <v>58</v>
      </c>
      <c r="I39" s="9" t="s">
        <v>166</v>
      </c>
      <c r="J39" s="9" t="s">
        <v>1108</v>
      </c>
      <c r="K39" s="9"/>
      <c r="L39" s="9"/>
      <c r="M39" s="9"/>
      <c r="N39" s="9"/>
      <c r="O39" s="7" t="s">
        <v>17</v>
      </c>
      <c r="P39" s="8" t="s">
        <v>153</v>
      </c>
      <c r="Q39" s="8"/>
      <c r="R39" s="8"/>
    </row>
    <row r="40" spans="1:18" ht="15" customHeight="1">
      <c r="B40" s="9" t="s">
        <v>167</v>
      </c>
      <c r="C40" s="9" t="s">
        <v>1118</v>
      </c>
      <c r="D40" s="9" t="s">
        <v>1151</v>
      </c>
      <c r="E40" s="15" t="s">
        <v>146</v>
      </c>
      <c r="F40" s="15" t="s">
        <v>147</v>
      </c>
      <c r="G40" s="9" t="s">
        <v>168</v>
      </c>
      <c r="H40" s="9" t="s">
        <v>31</v>
      </c>
      <c r="I40" s="9" t="s">
        <v>32</v>
      </c>
      <c r="J40" s="9" t="s">
        <v>1108</v>
      </c>
      <c r="K40" s="9"/>
      <c r="L40" s="9" t="s">
        <v>1152</v>
      </c>
      <c r="M40" s="9"/>
      <c r="N40" s="9"/>
      <c r="O40" s="7" t="s">
        <v>17</v>
      </c>
      <c r="P40" s="8" t="s">
        <v>53</v>
      </c>
      <c r="Q40" s="8"/>
      <c r="R40" s="8"/>
    </row>
    <row r="41" spans="1:18" ht="15" customHeight="1">
      <c r="B41" s="9" t="s">
        <v>170</v>
      </c>
      <c r="C41" s="9" t="s">
        <v>1118</v>
      </c>
      <c r="D41" s="9" t="s">
        <v>1119</v>
      </c>
      <c r="E41" s="15" t="s">
        <v>146</v>
      </c>
      <c r="F41" s="15" t="s">
        <v>147</v>
      </c>
      <c r="G41" s="9" t="s">
        <v>171</v>
      </c>
      <c r="H41" s="9" t="s">
        <v>31</v>
      </c>
      <c r="I41" s="9" t="s">
        <v>32</v>
      </c>
      <c r="J41" s="9" t="s">
        <v>1108</v>
      </c>
      <c r="K41" s="9"/>
      <c r="L41" s="9" t="s">
        <v>1153</v>
      </c>
      <c r="M41" s="9"/>
      <c r="N41" s="9"/>
      <c r="O41" s="7" t="s">
        <v>17</v>
      </c>
      <c r="P41" s="8" t="s">
        <v>173</v>
      </c>
      <c r="Q41" s="8"/>
      <c r="R41" s="8"/>
    </row>
    <row r="42" spans="1:18" ht="15" customHeight="1">
      <c r="B42" s="9" t="s">
        <v>174</v>
      </c>
      <c r="C42" s="9" t="s">
        <v>1118</v>
      </c>
      <c r="D42" s="9" t="s">
        <v>1119</v>
      </c>
      <c r="E42" s="15" t="s">
        <v>146</v>
      </c>
      <c r="F42" s="15" t="s">
        <v>147</v>
      </c>
      <c r="G42" s="9" t="s">
        <v>1154</v>
      </c>
      <c r="H42" s="9" t="s">
        <v>82</v>
      </c>
      <c r="I42" s="9" t="s">
        <v>83</v>
      </c>
      <c r="J42" s="9" t="s">
        <v>1116</v>
      </c>
      <c r="K42" s="9"/>
      <c r="L42" s="9"/>
      <c r="M42" s="9"/>
      <c r="N42" s="9"/>
      <c r="O42" s="7" t="s">
        <v>17</v>
      </c>
      <c r="P42" s="8" t="s">
        <v>161</v>
      </c>
      <c r="Q42" s="8"/>
      <c r="R42" s="8"/>
    </row>
    <row r="43" spans="1:18" ht="15" customHeight="1">
      <c r="B43" s="9" t="s">
        <v>176</v>
      </c>
      <c r="C43" s="9" t="s">
        <v>1118</v>
      </c>
      <c r="D43" s="9" t="s">
        <v>1119</v>
      </c>
      <c r="E43" s="15" t="s">
        <v>146</v>
      </c>
      <c r="F43" s="15" t="s">
        <v>147</v>
      </c>
      <c r="G43" s="9" t="s">
        <v>177</v>
      </c>
      <c r="H43" s="9" t="s">
        <v>82</v>
      </c>
      <c r="I43" s="9" t="s">
        <v>83</v>
      </c>
      <c r="J43" s="9" t="s">
        <v>1116</v>
      </c>
      <c r="K43" s="9"/>
      <c r="L43" s="9"/>
      <c r="M43" s="9"/>
      <c r="N43" s="9"/>
      <c r="O43" s="7" t="s">
        <v>17</v>
      </c>
      <c r="P43" s="8" t="s">
        <v>161</v>
      </c>
      <c r="Q43" s="8"/>
      <c r="R43" s="8"/>
    </row>
    <row r="44" spans="1:18" ht="15" customHeight="1">
      <c r="B44" s="9" t="s">
        <v>178</v>
      </c>
      <c r="C44" s="9" t="s">
        <v>1118</v>
      </c>
      <c r="D44" s="9" t="s">
        <v>1119</v>
      </c>
      <c r="E44" s="15" t="s">
        <v>146</v>
      </c>
      <c r="F44" s="15" t="s">
        <v>147</v>
      </c>
      <c r="G44" s="9" t="s">
        <v>179</v>
      </c>
      <c r="H44" s="9" t="s">
        <v>82</v>
      </c>
      <c r="I44" s="9" t="s">
        <v>83</v>
      </c>
      <c r="J44" s="9" t="s">
        <v>1116</v>
      </c>
      <c r="K44" s="9"/>
      <c r="L44" s="9"/>
      <c r="M44" s="9"/>
      <c r="N44" s="9"/>
      <c r="O44" s="7" t="s">
        <v>17</v>
      </c>
      <c r="P44" s="8" t="s">
        <v>161</v>
      </c>
      <c r="Q44" s="8"/>
      <c r="R44" s="8"/>
    </row>
    <row r="45" spans="1:18" ht="15" customHeight="1">
      <c r="B45" s="9" t="s">
        <v>180</v>
      </c>
      <c r="C45" s="9" t="s">
        <v>1118</v>
      </c>
      <c r="D45" s="9" t="s">
        <v>1119</v>
      </c>
      <c r="E45" s="15" t="s">
        <v>146</v>
      </c>
      <c r="F45" s="15" t="s">
        <v>147</v>
      </c>
      <c r="G45" s="9" t="s">
        <v>1155</v>
      </c>
      <c r="H45" s="9" t="s">
        <v>58</v>
      </c>
      <c r="I45" s="9" t="s">
        <v>166</v>
      </c>
      <c r="J45" s="9" t="s">
        <v>1108</v>
      </c>
      <c r="K45" s="9"/>
      <c r="L45" s="9" t="s">
        <v>1156</v>
      </c>
      <c r="M45" s="9"/>
      <c r="N45" s="9"/>
      <c r="O45" s="7" t="s">
        <v>17</v>
      </c>
      <c r="P45" s="8" t="s">
        <v>1157</v>
      </c>
      <c r="Q45" s="8"/>
      <c r="R45" s="8"/>
    </row>
    <row r="46" spans="1:18" ht="15" customHeight="1">
      <c r="B46" s="9" t="s">
        <v>185</v>
      </c>
      <c r="C46" s="9" t="s">
        <v>1118</v>
      </c>
      <c r="D46" s="9" t="s">
        <v>1158</v>
      </c>
      <c r="E46" s="15" t="s">
        <v>146</v>
      </c>
      <c r="F46" s="15" t="s">
        <v>147</v>
      </c>
      <c r="G46" s="9" t="s">
        <v>186</v>
      </c>
      <c r="H46" s="9" t="s">
        <v>58</v>
      </c>
      <c r="I46" s="9" t="s">
        <v>166</v>
      </c>
      <c r="J46" s="9" t="s">
        <v>1108</v>
      </c>
      <c r="K46" s="9"/>
      <c r="L46" s="9" t="s">
        <v>1159</v>
      </c>
      <c r="M46" s="9"/>
      <c r="N46" s="9"/>
      <c r="O46" s="10" t="s">
        <v>183</v>
      </c>
      <c r="P46" s="8" t="s">
        <v>188</v>
      </c>
      <c r="Q46" s="8"/>
      <c r="R46" s="8"/>
    </row>
    <row r="47" spans="1:18" ht="15" customHeight="1">
      <c r="B47" s="9" t="s">
        <v>189</v>
      </c>
      <c r="C47" s="9"/>
      <c r="D47" s="9"/>
      <c r="E47" s="15" t="s">
        <v>146</v>
      </c>
      <c r="F47" s="15" t="s">
        <v>147</v>
      </c>
      <c r="G47" s="9" t="s">
        <v>190</v>
      </c>
      <c r="H47" s="9" t="s">
        <v>58</v>
      </c>
      <c r="I47" s="9" t="s">
        <v>166</v>
      </c>
      <c r="J47" s="9" t="s">
        <v>1108</v>
      </c>
      <c r="K47" s="9"/>
      <c r="L47" s="9" t="s">
        <v>1159</v>
      </c>
      <c r="M47" s="9"/>
      <c r="N47" s="9"/>
      <c r="O47" s="10" t="s">
        <v>183</v>
      </c>
      <c r="P47" s="8" t="s">
        <v>188</v>
      </c>
      <c r="Q47" s="8"/>
      <c r="R47" s="8"/>
    </row>
    <row r="48" spans="1:18" ht="15" customHeight="1">
      <c r="B48" s="9" t="s">
        <v>194</v>
      </c>
      <c r="C48" s="9" t="s">
        <v>1118</v>
      </c>
      <c r="D48" s="9" t="s">
        <v>1119</v>
      </c>
      <c r="E48" s="15" t="s">
        <v>146</v>
      </c>
      <c r="F48" s="15" t="s">
        <v>147</v>
      </c>
      <c r="G48" s="9" t="s">
        <v>195</v>
      </c>
      <c r="H48" s="9" t="s">
        <v>31</v>
      </c>
      <c r="I48" s="9" t="s">
        <v>166</v>
      </c>
      <c r="J48" s="9" t="s">
        <v>1108</v>
      </c>
      <c r="K48" s="9"/>
      <c r="L48" s="9" t="s">
        <v>1160</v>
      </c>
      <c r="M48" s="9"/>
      <c r="N48" s="9"/>
      <c r="O48" s="7" t="s">
        <v>17</v>
      </c>
      <c r="P48" s="8" t="s">
        <v>28</v>
      </c>
      <c r="Q48" s="8"/>
      <c r="R48" s="8"/>
    </row>
    <row r="49" spans="2:18" ht="15" customHeight="1">
      <c r="B49" s="9" t="s">
        <v>197</v>
      </c>
      <c r="C49" s="9" t="s">
        <v>1118</v>
      </c>
      <c r="D49" s="9" t="s">
        <v>1119</v>
      </c>
      <c r="E49" s="15" t="s">
        <v>146</v>
      </c>
      <c r="F49" s="15" t="s">
        <v>147</v>
      </c>
      <c r="G49" s="9" t="s">
        <v>198</v>
      </c>
      <c r="H49" s="9" t="s">
        <v>58</v>
      </c>
      <c r="I49" s="9" t="s">
        <v>32</v>
      </c>
      <c r="J49" s="9" t="s">
        <v>1108</v>
      </c>
      <c r="K49" s="9"/>
      <c r="L49" s="9"/>
      <c r="M49" s="9"/>
      <c r="N49" s="9"/>
      <c r="O49" s="7" t="s">
        <v>17</v>
      </c>
      <c r="P49" s="8" t="s">
        <v>161</v>
      </c>
      <c r="Q49" s="8"/>
      <c r="R49" s="8"/>
    </row>
    <row r="50" spans="2:18" ht="15" customHeight="1">
      <c r="B50" s="9" t="s">
        <v>199</v>
      </c>
      <c r="C50" s="9" t="s">
        <v>1123</v>
      </c>
      <c r="D50" s="9" t="s">
        <v>1124</v>
      </c>
      <c r="E50" s="15" t="s">
        <v>146</v>
      </c>
      <c r="F50" s="15" t="s">
        <v>147</v>
      </c>
      <c r="G50" s="9" t="s">
        <v>1161</v>
      </c>
      <c r="H50" s="9" t="s">
        <v>58</v>
      </c>
      <c r="I50" s="9" t="s">
        <v>201</v>
      </c>
      <c r="J50" s="9" t="s">
        <v>1108</v>
      </c>
      <c r="K50" s="9"/>
      <c r="L50" s="9"/>
      <c r="M50" s="9"/>
      <c r="N50" s="9"/>
      <c r="O50" s="7" t="s">
        <v>17</v>
      </c>
      <c r="P50" s="8" t="s">
        <v>60</v>
      </c>
      <c r="Q50" s="8"/>
      <c r="R50" s="8"/>
    </row>
    <row r="51" spans="2:18" ht="15" customHeight="1">
      <c r="B51" s="9" t="s">
        <v>208</v>
      </c>
      <c r="C51" s="9" t="s">
        <v>1132</v>
      </c>
      <c r="D51" s="9" t="s">
        <v>1162</v>
      </c>
      <c r="E51" s="15" t="s">
        <v>146</v>
      </c>
      <c r="F51" s="15" t="s">
        <v>147</v>
      </c>
      <c r="G51" s="9" t="s">
        <v>209</v>
      </c>
      <c r="H51" s="9" t="s">
        <v>58</v>
      </c>
      <c r="I51" s="9" t="s">
        <v>59</v>
      </c>
      <c r="J51" s="9" t="s">
        <v>1108</v>
      </c>
      <c r="K51" s="9"/>
      <c r="L51" s="9"/>
      <c r="M51" s="9"/>
      <c r="N51" s="9"/>
      <c r="O51" s="7" t="s">
        <v>17</v>
      </c>
      <c r="P51" s="8" t="s">
        <v>210</v>
      </c>
      <c r="Q51" s="8"/>
      <c r="R51" s="8"/>
    </row>
    <row r="52" spans="2:18" ht="15" customHeight="1">
      <c r="B52" s="9" t="s">
        <v>211</v>
      </c>
      <c r="C52" s="9" t="s">
        <v>1118</v>
      </c>
      <c r="D52" s="9" t="s">
        <v>1151</v>
      </c>
      <c r="E52" s="15" t="s">
        <v>146</v>
      </c>
      <c r="F52" s="15" t="s">
        <v>147</v>
      </c>
      <c r="G52" s="9" t="s">
        <v>212</v>
      </c>
      <c r="H52" s="9" t="s">
        <v>58</v>
      </c>
      <c r="I52" s="9" t="s">
        <v>166</v>
      </c>
      <c r="J52" s="9" t="s">
        <v>1108</v>
      </c>
      <c r="K52" s="9"/>
      <c r="L52" s="9"/>
      <c r="M52" s="15" t="s">
        <v>213</v>
      </c>
      <c r="N52" s="9"/>
      <c r="O52" s="7" t="s">
        <v>17</v>
      </c>
      <c r="P52" s="8" t="s">
        <v>214</v>
      </c>
      <c r="Q52" s="8"/>
      <c r="R52" s="8"/>
    </row>
    <row r="53" spans="2:18" ht="15" customHeight="1">
      <c r="B53" s="9" t="s">
        <v>215</v>
      </c>
      <c r="C53" s="9" t="s">
        <v>1118</v>
      </c>
      <c r="D53" s="9" t="s">
        <v>1119</v>
      </c>
      <c r="E53" s="15" t="s">
        <v>146</v>
      </c>
      <c r="F53" s="15" t="s">
        <v>147</v>
      </c>
      <c r="G53" s="9" t="s">
        <v>216</v>
      </c>
      <c r="H53" s="9" t="s">
        <v>58</v>
      </c>
      <c r="I53" s="9" t="s">
        <v>166</v>
      </c>
      <c r="J53" s="9" t="s">
        <v>1116</v>
      </c>
      <c r="K53" s="9"/>
      <c r="L53" s="9"/>
      <c r="M53" s="15" t="s">
        <v>217</v>
      </c>
      <c r="N53" s="9"/>
      <c r="O53" s="7" t="s">
        <v>17</v>
      </c>
      <c r="P53" s="8" t="s">
        <v>214</v>
      </c>
      <c r="Q53" s="8"/>
      <c r="R53" s="8"/>
    </row>
    <row r="54" spans="2:18" ht="15" customHeight="1">
      <c r="B54" s="9" t="s">
        <v>218</v>
      </c>
      <c r="C54" s="9" t="s">
        <v>1118</v>
      </c>
      <c r="D54" s="9" t="s">
        <v>1151</v>
      </c>
      <c r="E54" s="15" t="s">
        <v>146</v>
      </c>
      <c r="F54" s="15" t="s">
        <v>147</v>
      </c>
      <c r="G54" s="9" t="s">
        <v>219</v>
      </c>
      <c r="H54" s="9" t="s">
        <v>58</v>
      </c>
      <c r="I54" s="9" t="s">
        <v>166</v>
      </c>
      <c r="J54" s="9" t="s">
        <v>1108</v>
      </c>
      <c r="K54" s="9"/>
      <c r="L54" s="9"/>
      <c r="M54" s="15" t="s">
        <v>220</v>
      </c>
      <c r="N54" s="9"/>
      <c r="O54" s="7" t="s">
        <v>17</v>
      </c>
      <c r="P54" s="8" t="s">
        <v>214</v>
      </c>
      <c r="Q54" s="8"/>
      <c r="R54" s="8"/>
    </row>
    <row r="55" spans="2:18" ht="15" customHeight="1">
      <c r="B55" s="9" t="s">
        <v>221</v>
      </c>
      <c r="C55" s="9" t="s">
        <v>1118</v>
      </c>
      <c r="D55" s="9" t="s">
        <v>1119</v>
      </c>
      <c r="E55" s="15" t="s">
        <v>146</v>
      </c>
      <c r="F55" s="15" t="s">
        <v>147</v>
      </c>
      <c r="G55" s="9" t="s">
        <v>222</v>
      </c>
      <c r="H55" s="9" t="s">
        <v>58</v>
      </c>
      <c r="I55" s="9" t="s">
        <v>166</v>
      </c>
      <c r="J55" s="9" t="s">
        <v>1116</v>
      </c>
      <c r="K55" s="9"/>
      <c r="L55" s="9"/>
      <c r="M55" s="15" t="s">
        <v>223</v>
      </c>
      <c r="N55" s="9"/>
      <c r="O55" s="7" t="s">
        <v>17</v>
      </c>
      <c r="P55" s="8" t="s">
        <v>214</v>
      </c>
      <c r="Q55" s="8"/>
      <c r="R55" s="8"/>
    </row>
    <row r="56" spans="2:18" ht="15" customHeight="1">
      <c r="B56" s="9" t="s">
        <v>224</v>
      </c>
      <c r="C56" s="9" t="s">
        <v>1118</v>
      </c>
      <c r="D56" s="9" t="s">
        <v>1151</v>
      </c>
      <c r="E56" s="15" t="s">
        <v>146</v>
      </c>
      <c r="F56" s="15" t="s">
        <v>147</v>
      </c>
      <c r="G56" s="9" t="s">
        <v>225</v>
      </c>
      <c r="H56" s="9" t="s">
        <v>58</v>
      </c>
      <c r="I56" s="9" t="s">
        <v>166</v>
      </c>
      <c r="J56" s="9" t="s">
        <v>1108</v>
      </c>
      <c r="K56" s="9"/>
      <c r="L56" s="9"/>
      <c r="M56" s="15" t="s">
        <v>226</v>
      </c>
      <c r="N56" s="9"/>
      <c r="O56" s="7" t="s">
        <v>17</v>
      </c>
      <c r="P56" s="8" t="s">
        <v>214</v>
      </c>
      <c r="Q56" s="8"/>
      <c r="R56" s="8"/>
    </row>
    <row r="57" spans="2:18" ht="15" customHeight="1">
      <c r="B57" s="9" t="s">
        <v>227</v>
      </c>
      <c r="C57" s="9" t="s">
        <v>1118</v>
      </c>
      <c r="D57" s="9" t="s">
        <v>1119</v>
      </c>
      <c r="E57" s="15" t="s">
        <v>146</v>
      </c>
      <c r="F57" s="15" t="s">
        <v>147</v>
      </c>
      <c r="G57" s="9" t="s">
        <v>228</v>
      </c>
      <c r="H57" s="9" t="s">
        <v>58</v>
      </c>
      <c r="I57" s="9" t="s">
        <v>166</v>
      </c>
      <c r="J57" s="9" t="s">
        <v>1116</v>
      </c>
      <c r="K57" s="9"/>
      <c r="L57" s="9"/>
      <c r="M57" s="19" t="s">
        <v>229</v>
      </c>
      <c r="N57" s="9"/>
      <c r="O57" s="7" t="s">
        <v>17</v>
      </c>
      <c r="P57" s="8" t="s">
        <v>214</v>
      </c>
      <c r="Q57" s="8"/>
      <c r="R57" s="8"/>
    </row>
    <row r="58" spans="2:18" ht="15" customHeight="1">
      <c r="B58" s="9" t="s">
        <v>230</v>
      </c>
      <c r="C58" s="9" t="s">
        <v>1118</v>
      </c>
      <c r="D58" s="9" t="s">
        <v>1151</v>
      </c>
      <c r="E58" s="15" t="s">
        <v>146</v>
      </c>
      <c r="F58" s="15" t="s">
        <v>147</v>
      </c>
      <c r="G58" s="9" t="s">
        <v>231</v>
      </c>
      <c r="H58" s="9" t="s">
        <v>58</v>
      </c>
      <c r="I58" s="9" t="s">
        <v>166</v>
      </c>
      <c r="J58" s="9" t="s">
        <v>1108</v>
      </c>
      <c r="K58" s="9"/>
      <c r="L58" s="9"/>
      <c r="M58" s="19" t="s">
        <v>232</v>
      </c>
      <c r="N58" s="9"/>
      <c r="O58" s="7" t="s">
        <v>17</v>
      </c>
      <c r="P58" s="8" t="s">
        <v>214</v>
      </c>
      <c r="Q58" s="8"/>
      <c r="R58" s="8"/>
    </row>
    <row r="59" spans="2:18" ht="15" customHeight="1">
      <c r="B59" s="9" t="s">
        <v>233</v>
      </c>
      <c r="C59" s="9" t="s">
        <v>1118</v>
      </c>
      <c r="D59" s="9" t="s">
        <v>1119</v>
      </c>
      <c r="E59" s="15" t="s">
        <v>146</v>
      </c>
      <c r="F59" s="15" t="s">
        <v>147</v>
      </c>
      <c r="G59" s="9" t="s">
        <v>234</v>
      </c>
      <c r="H59" s="9" t="s">
        <v>58</v>
      </c>
      <c r="I59" s="9" t="s">
        <v>166</v>
      </c>
      <c r="J59" s="9" t="s">
        <v>1116</v>
      </c>
      <c r="K59" s="9"/>
      <c r="L59" s="9"/>
      <c r="M59" s="9"/>
      <c r="N59" s="9"/>
      <c r="O59" s="7" t="s">
        <v>17</v>
      </c>
      <c r="P59" s="8" t="s">
        <v>214</v>
      </c>
      <c r="Q59" s="8"/>
      <c r="R59" s="8"/>
    </row>
    <row r="60" spans="2:18" ht="15" customHeight="1">
      <c r="B60" s="9" t="s">
        <v>235</v>
      </c>
      <c r="C60" s="9" t="s">
        <v>1118</v>
      </c>
      <c r="D60" s="9" t="s">
        <v>1151</v>
      </c>
      <c r="E60" s="15" t="s">
        <v>146</v>
      </c>
      <c r="F60" s="15" t="s">
        <v>147</v>
      </c>
      <c r="G60" s="9" t="s">
        <v>236</v>
      </c>
      <c r="H60" s="9" t="s">
        <v>58</v>
      </c>
      <c r="I60" s="9" t="s">
        <v>166</v>
      </c>
      <c r="J60" s="9" t="s">
        <v>1108</v>
      </c>
      <c r="K60" s="9"/>
      <c r="L60" s="9"/>
      <c r="M60" s="9"/>
      <c r="N60" s="9"/>
      <c r="O60" s="7" t="s">
        <v>17</v>
      </c>
      <c r="P60" s="8" t="s">
        <v>214</v>
      </c>
      <c r="Q60" s="8"/>
      <c r="R60" s="8"/>
    </row>
    <row r="61" spans="2:18" ht="15" customHeight="1">
      <c r="B61" s="9" t="s">
        <v>237</v>
      </c>
      <c r="C61" s="9" t="s">
        <v>1118</v>
      </c>
      <c r="D61" s="9" t="s">
        <v>1119</v>
      </c>
      <c r="E61" s="15" t="s">
        <v>146</v>
      </c>
      <c r="F61" s="15" t="s">
        <v>147</v>
      </c>
      <c r="G61" s="9" t="s">
        <v>238</v>
      </c>
      <c r="H61" s="9" t="s">
        <v>58</v>
      </c>
      <c r="I61" s="9" t="s">
        <v>166</v>
      </c>
      <c r="J61" s="9" t="s">
        <v>1116</v>
      </c>
      <c r="K61" s="9"/>
      <c r="L61" s="9"/>
      <c r="M61" s="9"/>
      <c r="N61" s="9"/>
      <c r="O61" s="7" t="s">
        <v>17</v>
      </c>
      <c r="P61" s="8" t="s">
        <v>214</v>
      </c>
      <c r="Q61" s="8"/>
      <c r="R61" s="8"/>
    </row>
    <row r="62" spans="2:18" ht="15" customHeight="1">
      <c r="B62" s="9" t="s">
        <v>239</v>
      </c>
      <c r="C62" s="9" t="s">
        <v>1118</v>
      </c>
      <c r="D62" s="9" t="s">
        <v>1151</v>
      </c>
      <c r="E62" s="15" t="s">
        <v>146</v>
      </c>
      <c r="F62" s="15" t="s">
        <v>147</v>
      </c>
      <c r="G62" s="9" t="s">
        <v>240</v>
      </c>
      <c r="H62" s="9" t="s">
        <v>58</v>
      </c>
      <c r="I62" s="9" t="s">
        <v>166</v>
      </c>
      <c r="J62" s="9" t="s">
        <v>1108</v>
      </c>
      <c r="K62" s="9"/>
      <c r="L62" s="9"/>
      <c r="M62" s="9"/>
      <c r="N62" s="9"/>
      <c r="O62" s="7" t="s">
        <v>17</v>
      </c>
      <c r="P62" s="8" t="s">
        <v>214</v>
      </c>
      <c r="Q62" s="8"/>
      <c r="R62" s="8"/>
    </row>
    <row r="63" spans="2:18" ht="15" customHeight="1">
      <c r="B63" s="9" t="s">
        <v>241</v>
      </c>
      <c r="C63" s="9" t="s">
        <v>1118</v>
      </c>
      <c r="D63" s="9" t="s">
        <v>1119</v>
      </c>
      <c r="E63" s="15" t="s">
        <v>146</v>
      </c>
      <c r="F63" s="15" t="s">
        <v>147</v>
      </c>
      <c r="G63" s="9" t="s">
        <v>242</v>
      </c>
      <c r="H63" s="9" t="s">
        <v>58</v>
      </c>
      <c r="I63" s="9" t="s">
        <v>166</v>
      </c>
      <c r="J63" s="9" t="s">
        <v>1116</v>
      </c>
      <c r="K63" s="9"/>
      <c r="L63" s="9"/>
      <c r="M63" s="9"/>
      <c r="N63" s="9"/>
      <c r="O63" s="7" t="s">
        <v>17</v>
      </c>
      <c r="P63" s="8" t="s">
        <v>214</v>
      </c>
      <c r="Q63" s="8"/>
      <c r="R63" s="8"/>
    </row>
    <row r="64" spans="2:18" ht="15" customHeight="1">
      <c r="B64" s="9" t="s">
        <v>243</v>
      </c>
      <c r="C64" s="9" t="s">
        <v>1118</v>
      </c>
      <c r="D64" s="9" t="s">
        <v>1151</v>
      </c>
      <c r="E64" s="15" t="s">
        <v>146</v>
      </c>
      <c r="F64" s="15" t="s">
        <v>147</v>
      </c>
      <c r="G64" s="9" t="s">
        <v>244</v>
      </c>
      <c r="H64" s="9" t="s">
        <v>58</v>
      </c>
      <c r="I64" s="9" t="s">
        <v>166</v>
      </c>
      <c r="J64" s="9" t="s">
        <v>1108</v>
      </c>
      <c r="K64" s="9"/>
      <c r="L64" s="9"/>
      <c r="M64" s="9"/>
      <c r="N64" s="9"/>
      <c r="O64" s="7" t="s">
        <v>17</v>
      </c>
      <c r="P64" s="8" t="s">
        <v>214</v>
      </c>
      <c r="Q64" s="8"/>
      <c r="R64" s="8"/>
    </row>
    <row r="65" spans="2:18" ht="15" customHeight="1">
      <c r="B65" s="9" t="s">
        <v>245</v>
      </c>
      <c r="C65" s="9" t="s">
        <v>1118</v>
      </c>
      <c r="D65" s="9" t="s">
        <v>1119</v>
      </c>
      <c r="E65" s="15" t="s">
        <v>146</v>
      </c>
      <c r="F65" s="15" t="s">
        <v>147</v>
      </c>
      <c r="G65" s="9" t="s">
        <v>246</v>
      </c>
      <c r="H65" s="9" t="s">
        <v>58</v>
      </c>
      <c r="I65" s="9" t="s">
        <v>166</v>
      </c>
      <c r="J65" s="9" t="s">
        <v>1116</v>
      </c>
      <c r="K65" s="9"/>
      <c r="L65" s="9"/>
      <c r="M65" s="9"/>
      <c r="N65" s="9"/>
      <c r="O65" s="7" t="s">
        <v>17</v>
      </c>
      <c r="P65" s="8" t="s">
        <v>214</v>
      </c>
      <c r="Q65" s="8"/>
      <c r="R65" s="8"/>
    </row>
    <row r="66" spans="2:18" ht="15" customHeight="1">
      <c r="B66" s="9" t="s">
        <v>247</v>
      </c>
      <c r="C66" s="9" t="s">
        <v>1118</v>
      </c>
      <c r="D66" s="9" t="s">
        <v>1151</v>
      </c>
      <c r="E66" s="15" t="s">
        <v>146</v>
      </c>
      <c r="F66" s="15" t="s">
        <v>147</v>
      </c>
      <c r="G66" s="9" t="s">
        <v>248</v>
      </c>
      <c r="H66" s="9" t="s">
        <v>58</v>
      </c>
      <c r="I66" s="9" t="s">
        <v>166</v>
      </c>
      <c r="J66" s="9" t="s">
        <v>1108</v>
      </c>
      <c r="K66" s="9"/>
      <c r="L66" s="9"/>
      <c r="M66" s="9"/>
      <c r="N66" s="9"/>
      <c r="O66" s="7" t="s">
        <v>17</v>
      </c>
      <c r="P66" s="8" t="s">
        <v>214</v>
      </c>
      <c r="Q66" s="8"/>
      <c r="R66" s="8"/>
    </row>
    <row r="67" spans="2:18" ht="15" customHeight="1">
      <c r="B67" s="9" t="s">
        <v>249</v>
      </c>
      <c r="C67" s="9" t="s">
        <v>1118</v>
      </c>
      <c r="D67" s="9" t="s">
        <v>1119</v>
      </c>
      <c r="E67" s="15" t="s">
        <v>146</v>
      </c>
      <c r="F67" s="15" t="s">
        <v>147</v>
      </c>
      <c r="G67" s="9" t="s">
        <v>250</v>
      </c>
      <c r="H67" s="9" t="s">
        <v>58</v>
      </c>
      <c r="I67" s="9" t="s">
        <v>166</v>
      </c>
      <c r="J67" s="9" t="s">
        <v>1116</v>
      </c>
      <c r="K67" s="9"/>
      <c r="L67" s="9"/>
      <c r="M67" s="9"/>
      <c r="N67" s="9"/>
      <c r="O67" s="7" t="s">
        <v>17</v>
      </c>
      <c r="P67" s="8" t="s">
        <v>161</v>
      </c>
      <c r="Q67" s="8"/>
      <c r="R67" s="8"/>
    </row>
    <row r="68" spans="2:18" ht="15" customHeight="1">
      <c r="B68" s="9" t="s">
        <v>251</v>
      </c>
      <c r="C68" s="9" t="s">
        <v>1118</v>
      </c>
      <c r="D68" s="9" t="s">
        <v>1119</v>
      </c>
      <c r="E68" s="15" t="s">
        <v>146</v>
      </c>
      <c r="F68" s="15" t="s">
        <v>147</v>
      </c>
      <c r="G68" s="9" t="s">
        <v>252</v>
      </c>
      <c r="H68" s="9" t="s">
        <v>58</v>
      </c>
      <c r="I68" s="9" t="s">
        <v>166</v>
      </c>
      <c r="J68" s="9" t="s">
        <v>1108</v>
      </c>
      <c r="K68" s="9"/>
      <c r="L68" s="9"/>
      <c r="M68" s="9"/>
      <c r="N68" s="9"/>
      <c r="O68" s="7" t="s">
        <v>17</v>
      </c>
      <c r="P68" s="8" t="s">
        <v>253</v>
      </c>
      <c r="Q68" s="8"/>
      <c r="R68" s="8"/>
    </row>
    <row r="69" spans="2:18" ht="15" customHeight="1">
      <c r="B69" s="9" t="s">
        <v>254</v>
      </c>
      <c r="C69" s="9" t="s">
        <v>1118</v>
      </c>
      <c r="D69" s="9" t="s">
        <v>1119</v>
      </c>
      <c r="E69" s="15" t="s">
        <v>146</v>
      </c>
      <c r="F69" s="15" t="s">
        <v>147</v>
      </c>
      <c r="G69" s="9" t="s">
        <v>255</v>
      </c>
      <c r="H69" s="9" t="s">
        <v>58</v>
      </c>
      <c r="I69" s="9" t="s">
        <v>166</v>
      </c>
      <c r="J69" s="9" t="s">
        <v>1116</v>
      </c>
      <c r="K69" s="9"/>
      <c r="L69" s="9"/>
      <c r="M69" s="9"/>
      <c r="N69" s="9"/>
      <c r="O69" s="7" t="s">
        <v>17</v>
      </c>
      <c r="P69" s="8" t="s">
        <v>161</v>
      </c>
      <c r="Q69" s="8"/>
      <c r="R69" s="8"/>
    </row>
    <row r="70" spans="2:18" ht="15" customHeight="1">
      <c r="B70" s="9" t="s">
        <v>256</v>
      </c>
      <c r="C70" s="9" t="s">
        <v>1118</v>
      </c>
      <c r="D70" s="9" t="s">
        <v>1119</v>
      </c>
      <c r="E70" s="15" t="s">
        <v>146</v>
      </c>
      <c r="F70" s="15" t="s">
        <v>147</v>
      </c>
      <c r="G70" s="9" t="s">
        <v>257</v>
      </c>
      <c r="H70" s="9" t="s">
        <v>58</v>
      </c>
      <c r="I70" s="9" t="s">
        <v>166</v>
      </c>
      <c r="J70" s="9" t="s">
        <v>1116</v>
      </c>
      <c r="K70" s="9"/>
      <c r="L70" s="9"/>
      <c r="M70" s="9"/>
      <c r="N70" s="9"/>
      <c r="O70" s="7" t="s">
        <v>17</v>
      </c>
      <c r="P70" s="8" t="s">
        <v>253</v>
      </c>
      <c r="Q70" s="8"/>
      <c r="R70" s="8"/>
    </row>
    <row r="71" spans="2:18" ht="15" customHeight="1">
      <c r="B71" s="9" t="s">
        <v>258</v>
      </c>
      <c r="C71" s="9" t="s">
        <v>1118</v>
      </c>
      <c r="D71" s="9" t="s">
        <v>1163</v>
      </c>
      <c r="E71" s="15" t="s">
        <v>146</v>
      </c>
      <c r="F71" s="15" t="s">
        <v>147</v>
      </c>
      <c r="G71" s="9" t="s">
        <v>259</v>
      </c>
      <c r="H71" s="9" t="s">
        <v>58</v>
      </c>
      <c r="I71" s="9" t="s">
        <v>32</v>
      </c>
      <c r="J71" s="9" t="s">
        <v>1108</v>
      </c>
      <c r="K71" s="9"/>
      <c r="L71" s="9"/>
      <c r="M71" s="9"/>
      <c r="N71" s="9"/>
      <c r="O71" s="7" t="s">
        <v>17</v>
      </c>
      <c r="P71" s="8" t="s">
        <v>260</v>
      </c>
      <c r="Q71" s="8"/>
      <c r="R71" s="8"/>
    </row>
    <row r="72" spans="2:18" ht="15" customHeight="1">
      <c r="B72" s="9" t="s">
        <v>261</v>
      </c>
      <c r="C72" s="9" t="s">
        <v>1118</v>
      </c>
      <c r="D72" s="9" t="s">
        <v>1163</v>
      </c>
      <c r="E72" s="15" t="s">
        <v>146</v>
      </c>
      <c r="F72" s="15" t="s">
        <v>147</v>
      </c>
      <c r="G72" s="9" t="s">
        <v>262</v>
      </c>
      <c r="H72" s="9" t="s">
        <v>58</v>
      </c>
      <c r="I72" s="9" t="s">
        <v>32</v>
      </c>
      <c r="J72" s="9" t="s">
        <v>1116</v>
      </c>
      <c r="K72" s="9"/>
      <c r="L72" s="9"/>
      <c r="M72" s="9"/>
      <c r="N72" s="9"/>
      <c r="O72" s="7" t="s">
        <v>17</v>
      </c>
      <c r="P72" s="8" t="s">
        <v>260</v>
      </c>
      <c r="Q72" s="8"/>
      <c r="R72" s="8"/>
    </row>
    <row r="73" spans="2:18" ht="15" customHeight="1">
      <c r="B73" s="9" t="s">
        <v>263</v>
      </c>
      <c r="C73" s="9" t="s">
        <v>1118</v>
      </c>
      <c r="D73" s="9" t="s">
        <v>1163</v>
      </c>
      <c r="E73" s="15" t="s">
        <v>146</v>
      </c>
      <c r="F73" s="15" t="s">
        <v>147</v>
      </c>
      <c r="G73" s="9" t="s">
        <v>264</v>
      </c>
      <c r="H73" s="9" t="s">
        <v>58</v>
      </c>
      <c r="I73" s="9" t="s">
        <v>32</v>
      </c>
      <c r="J73" s="9" t="s">
        <v>1116</v>
      </c>
      <c r="K73" s="9"/>
      <c r="L73" s="9"/>
      <c r="M73" s="9"/>
      <c r="N73" s="9"/>
      <c r="O73" s="7" t="s">
        <v>17</v>
      </c>
      <c r="P73" s="8" t="s">
        <v>260</v>
      </c>
      <c r="Q73" s="8"/>
      <c r="R73" s="8"/>
    </row>
    <row r="74" spans="2:18" ht="15" customHeight="1">
      <c r="B74" s="9" t="s">
        <v>265</v>
      </c>
      <c r="C74" s="9" t="s">
        <v>1118</v>
      </c>
      <c r="D74" s="9" t="s">
        <v>1163</v>
      </c>
      <c r="E74" s="15" t="s">
        <v>146</v>
      </c>
      <c r="F74" s="15" t="s">
        <v>147</v>
      </c>
      <c r="G74" s="9" t="s">
        <v>266</v>
      </c>
      <c r="H74" s="9" t="s">
        <v>58</v>
      </c>
      <c r="I74" s="9" t="s">
        <v>32</v>
      </c>
      <c r="J74" s="9" t="s">
        <v>1116</v>
      </c>
      <c r="K74" s="9"/>
      <c r="L74" s="9"/>
      <c r="M74" s="9"/>
      <c r="N74" s="9"/>
      <c r="O74" s="7" t="s">
        <v>17</v>
      </c>
      <c r="P74" s="8" t="s">
        <v>260</v>
      </c>
      <c r="Q74" s="8"/>
      <c r="R74" s="8"/>
    </row>
    <row r="75" spans="2:18" ht="15" customHeight="1">
      <c r="B75" s="9" t="s">
        <v>267</v>
      </c>
      <c r="C75" s="9" t="s">
        <v>1132</v>
      </c>
      <c r="D75" s="9" t="s">
        <v>1147</v>
      </c>
      <c r="E75" s="15" t="s">
        <v>146</v>
      </c>
      <c r="F75" s="15" t="s">
        <v>147</v>
      </c>
      <c r="G75" s="9" t="s">
        <v>268</v>
      </c>
      <c r="H75" s="9" t="s">
        <v>31</v>
      </c>
      <c r="I75" s="9" t="s">
        <v>32</v>
      </c>
      <c r="J75" s="9" t="s">
        <v>1108</v>
      </c>
      <c r="K75" s="9"/>
      <c r="L75" s="9" t="s">
        <v>269</v>
      </c>
      <c r="M75" s="9" t="s">
        <v>34</v>
      </c>
      <c r="N75" s="9"/>
      <c r="O75" s="7" t="s">
        <v>17</v>
      </c>
      <c r="P75" s="8" t="s">
        <v>161</v>
      </c>
      <c r="Q75" s="8"/>
      <c r="R75" s="8"/>
    </row>
    <row r="76" spans="2:18" ht="15" customHeight="1">
      <c r="B76" s="9" t="s">
        <v>270</v>
      </c>
      <c r="C76" s="9" t="s">
        <v>1132</v>
      </c>
      <c r="D76" s="9" t="s">
        <v>1162</v>
      </c>
      <c r="E76" s="15" t="s">
        <v>146</v>
      </c>
      <c r="F76" s="15" t="s">
        <v>147</v>
      </c>
      <c r="G76" s="9" t="s">
        <v>271</v>
      </c>
      <c r="H76" s="9" t="s">
        <v>31</v>
      </c>
      <c r="I76" s="9" t="s">
        <v>32</v>
      </c>
      <c r="J76" s="9" t="s">
        <v>1108</v>
      </c>
      <c r="K76" s="9"/>
      <c r="L76" s="9" t="s">
        <v>272</v>
      </c>
      <c r="M76" s="9" t="s">
        <v>34</v>
      </c>
      <c r="N76" s="9"/>
      <c r="O76" s="7" t="s">
        <v>17</v>
      </c>
      <c r="P76" s="8" t="s">
        <v>161</v>
      </c>
      <c r="Q76" s="8"/>
      <c r="R76" s="8"/>
    </row>
    <row r="77" spans="2:18" ht="15" customHeight="1">
      <c r="B77" s="9" t="s">
        <v>273</v>
      </c>
      <c r="C77" s="9" t="s">
        <v>1132</v>
      </c>
      <c r="D77" s="9" t="s">
        <v>1162</v>
      </c>
      <c r="E77" s="15" t="s">
        <v>146</v>
      </c>
      <c r="F77" s="15" t="s">
        <v>147</v>
      </c>
      <c r="G77" s="9" t="s">
        <v>274</v>
      </c>
      <c r="H77" s="9" t="s">
        <v>82</v>
      </c>
      <c r="I77" s="9" t="s">
        <v>32</v>
      </c>
      <c r="J77" s="9" t="s">
        <v>1116</v>
      </c>
      <c r="K77" s="9"/>
      <c r="L77" s="9"/>
      <c r="M77" s="9" t="s">
        <v>34</v>
      </c>
      <c r="N77" s="9"/>
      <c r="O77" s="7" t="s">
        <v>17</v>
      </c>
      <c r="P77" s="8" t="s">
        <v>161</v>
      </c>
      <c r="Q77" s="8"/>
      <c r="R77" s="8"/>
    </row>
    <row r="78" spans="2:18" ht="15" customHeight="1">
      <c r="B78" s="9" t="s">
        <v>275</v>
      </c>
      <c r="C78" s="9" t="s">
        <v>1132</v>
      </c>
      <c r="D78" s="9" t="s">
        <v>1162</v>
      </c>
      <c r="E78" s="15" t="s">
        <v>146</v>
      </c>
      <c r="F78" s="15" t="s">
        <v>147</v>
      </c>
      <c r="G78" s="9" t="s">
        <v>276</v>
      </c>
      <c r="H78" s="9" t="s">
        <v>58</v>
      </c>
      <c r="I78" s="9" t="s">
        <v>32</v>
      </c>
      <c r="J78" s="9"/>
      <c r="K78" s="9"/>
      <c r="L78" s="9"/>
      <c r="M78" s="9" t="s">
        <v>34</v>
      </c>
      <c r="N78" s="9"/>
      <c r="O78" s="12" t="s">
        <v>277</v>
      </c>
      <c r="P78" s="8" t="s">
        <v>278</v>
      </c>
      <c r="Q78" s="8"/>
      <c r="R78" s="8"/>
    </row>
    <row r="79" spans="2:18" ht="15" customHeight="1">
      <c r="B79" s="9" t="s">
        <v>279</v>
      </c>
      <c r="C79" s="9" t="s">
        <v>1118</v>
      </c>
      <c r="D79" s="9" t="s">
        <v>1158</v>
      </c>
      <c r="E79" s="15" t="s">
        <v>280</v>
      </c>
      <c r="F79" s="9" t="s">
        <v>281</v>
      </c>
      <c r="G79" s="9" t="s">
        <v>282</v>
      </c>
      <c r="H79" s="9" t="s">
        <v>31</v>
      </c>
      <c r="I79" s="9" t="s">
        <v>32</v>
      </c>
      <c r="J79" s="9" t="s">
        <v>1108</v>
      </c>
      <c r="K79" s="9"/>
      <c r="L79" s="9" t="s">
        <v>1164</v>
      </c>
      <c r="M79" s="9"/>
      <c r="N79" s="9"/>
      <c r="O79" s="7" t="s">
        <v>17</v>
      </c>
      <c r="P79" s="8" t="s">
        <v>284</v>
      </c>
      <c r="Q79" s="8"/>
      <c r="R79" s="8"/>
    </row>
    <row r="80" spans="2:18" ht="15" customHeight="1">
      <c r="B80" s="9" t="s">
        <v>285</v>
      </c>
      <c r="C80" s="9" t="s">
        <v>1118</v>
      </c>
      <c r="D80" s="9" t="s">
        <v>1158</v>
      </c>
      <c r="E80" s="15" t="s">
        <v>280</v>
      </c>
      <c r="F80" s="9" t="s">
        <v>281</v>
      </c>
      <c r="G80" s="9" t="s">
        <v>286</v>
      </c>
      <c r="H80" s="9" t="s">
        <v>31</v>
      </c>
      <c r="I80" s="9" t="s">
        <v>32</v>
      </c>
      <c r="J80" s="9" t="s">
        <v>1108</v>
      </c>
      <c r="K80" s="9"/>
      <c r="L80" s="9" t="s">
        <v>1165</v>
      </c>
      <c r="M80" s="9"/>
      <c r="N80" s="9"/>
      <c r="O80" s="7" t="s">
        <v>17</v>
      </c>
      <c r="P80" s="8" t="s">
        <v>284</v>
      </c>
      <c r="Q80" s="8"/>
      <c r="R80" s="8"/>
    </row>
    <row r="81" spans="2:18" ht="15" customHeight="1">
      <c r="B81" s="9" t="s">
        <v>288</v>
      </c>
      <c r="C81" s="9" t="s">
        <v>1118</v>
      </c>
      <c r="D81" s="9" t="s">
        <v>1158</v>
      </c>
      <c r="E81" s="15" t="s">
        <v>280</v>
      </c>
      <c r="F81" s="9" t="s">
        <v>281</v>
      </c>
      <c r="G81" s="9" t="s">
        <v>289</v>
      </c>
      <c r="H81" s="9" t="s">
        <v>31</v>
      </c>
      <c r="I81" s="9" t="s">
        <v>32</v>
      </c>
      <c r="J81" s="9" t="s">
        <v>1108</v>
      </c>
      <c r="K81" s="9"/>
      <c r="L81" s="9" t="s">
        <v>1166</v>
      </c>
      <c r="M81" s="9"/>
      <c r="N81" s="9"/>
      <c r="O81" s="7" t="s">
        <v>17</v>
      </c>
      <c r="P81" s="8" t="s">
        <v>284</v>
      </c>
      <c r="Q81" s="8"/>
      <c r="R81" s="8"/>
    </row>
    <row r="82" spans="2:18" ht="15" customHeight="1">
      <c r="B82" s="9" t="s">
        <v>291</v>
      </c>
      <c r="C82" s="9" t="s">
        <v>1118</v>
      </c>
      <c r="D82" s="9" t="s">
        <v>1158</v>
      </c>
      <c r="E82" s="15" t="s">
        <v>280</v>
      </c>
      <c r="F82" s="9" t="s">
        <v>281</v>
      </c>
      <c r="G82" s="9" t="s">
        <v>292</v>
      </c>
      <c r="H82" s="9" t="s">
        <v>31</v>
      </c>
      <c r="I82" s="9" t="s">
        <v>32</v>
      </c>
      <c r="J82" s="9" t="s">
        <v>1108</v>
      </c>
      <c r="K82" s="9"/>
      <c r="L82" s="9" t="s">
        <v>1167</v>
      </c>
      <c r="M82" s="9"/>
      <c r="N82" s="9"/>
      <c r="O82" s="7" t="s">
        <v>17</v>
      </c>
      <c r="P82" s="8" t="s">
        <v>284</v>
      </c>
      <c r="Q82" s="8"/>
      <c r="R82" s="8"/>
    </row>
    <row r="83" spans="2:18" ht="15" customHeight="1">
      <c r="B83" s="9" t="s">
        <v>294</v>
      </c>
      <c r="C83" s="9" t="s">
        <v>1118</v>
      </c>
      <c r="D83" s="9" t="s">
        <v>1158</v>
      </c>
      <c r="E83" s="15" t="s">
        <v>280</v>
      </c>
      <c r="F83" s="9" t="s">
        <v>281</v>
      </c>
      <c r="G83" s="9" t="s">
        <v>295</v>
      </c>
      <c r="H83" s="9" t="s">
        <v>31</v>
      </c>
      <c r="I83" s="9" t="s">
        <v>32</v>
      </c>
      <c r="J83" s="9" t="s">
        <v>1108</v>
      </c>
      <c r="K83" s="9"/>
      <c r="L83" s="9" t="s">
        <v>1152</v>
      </c>
      <c r="M83" s="9"/>
      <c r="N83" s="9"/>
      <c r="O83" s="7" t="s">
        <v>17</v>
      </c>
      <c r="P83" s="8" t="s">
        <v>284</v>
      </c>
      <c r="Q83" s="8"/>
      <c r="R83" s="8"/>
    </row>
    <row r="84" spans="2:18" ht="15" customHeight="1">
      <c r="B84" s="9" t="s">
        <v>297</v>
      </c>
      <c r="C84" s="9" t="s">
        <v>1118</v>
      </c>
      <c r="D84" s="9" t="s">
        <v>1158</v>
      </c>
      <c r="E84" s="15" t="s">
        <v>280</v>
      </c>
      <c r="F84" s="9" t="s">
        <v>281</v>
      </c>
      <c r="G84" s="9" t="s">
        <v>298</v>
      </c>
      <c r="H84" s="9" t="s">
        <v>31</v>
      </c>
      <c r="I84" s="9" t="s">
        <v>32</v>
      </c>
      <c r="J84" s="9" t="s">
        <v>1108</v>
      </c>
      <c r="K84" s="9"/>
      <c r="L84" s="9" t="s">
        <v>1168</v>
      </c>
      <c r="M84" s="9"/>
      <c r="N84" s="9"/>
      <c r="O84" s="7" t="s">
        <v>17</v>
      </c>
      <c r="P84" s="8" t="s">
        <v>300</v>
      </c>
      <c r="Q84" s="8"/>
      <c r="R84" s="8"/>
    </row>
    <row r="85" spans="2:18" ht="15" customHeight="1">
      <c r="B85" s="9" t="s">
        <v>301</v>
      </c>
      <c r="C85" s="9" t="s">
        <v>1118</v>
      </c>
      <c r="D85" s="9" t="s">
        <v>1158</v>
      </c>
      <c r="E85" s="15" t="s">
        <v>280</v>
      </c>
      <c r="F85" s="9" t="s">
        <v>281</v>
      </c>
      <c r="G85" s="9" t="s">
        <v>302</v>
      </c>
      <c r="H85" s="9" t="s">
        <v>31</v>
      </c>
      <c r="I85" s="9" t="s">
        <v>32</v>
      </c>
      <c r="J85" s="9" t="s">
        <v>1108</v>
      </c>
      <c r="K85" s="9"/>
      <c r="L85" s="9" t="s">
        <v>1169</v>
      </c>
      <c r="M85" s="9"/>
      <c r="N85" s="9"/>
      <c r="O85" s="7" t="s">
        <v>17</v>
      </c>
      <c r="P85" s="8" t="s">
        <v>284</v>
      </c>
      <c r="Q85" s="8"/>
      <c r="R85" s="8"/>
    </row>
    <row r="86" spans="2:18" ht="15" customHeight="1">
      <c r="B86" s="9" t="s">
        <v>304</v>
      </c>
      <c r="C86" s="9" t="s">
        <v>1118</v>
      </c>
      <c r="D86" s="9" t="s">
        <v>1158</v>
      </c>
      <c r="E86" s="15" t="s">
        <v>280</v>
      </c>
      <c r="F86" s="9" t="s">
        <v>281</v>
      </c>
      <c r="G86" s="9" t="s">
        <v>305</v>
      </c>
      <c r="H86" s="9" t="s">
        <v>31</v>
      </c>
      <c r="I86" s="9" t="s">
        <v>32</v>
      </c>
      <c r="J86" s="9" t="s">
        <v>1108</v>
      </c>
      <c r="K86" s="9"/>
      <c r="L86" s="9" t="s">
        <v>1170</v>
      </c>
      <c r="M86" s="9"/>
      <c r="N86" s="9"/>
      <c r="O86" s="7" t="s">
        <v>17</v>
      </c>
      <c r="P86" s="8" t="s">
        <v>284</v>
      </c>
      <c r="Q86" s="8"/>
      <c r="R86" s="8"/>
    </row>
    <row r="87" spans="2:18" ht="15" customHeight="1">
      <c r="B87" s="9" t="s">
        <v>307</v>
      </c>
      <c r="C87" s="9" t="s">
        <v>1118</v>
      </c>
      <c r="D87" s="9" t="s">
        <v>1158</v>
      </c>
      <c r="E87" s="15" t="s">
        <v>280</v>
      </c>
      <c r="F87" s="9" t="s">
        <v>281</v>
      </c>
      <c r="G87" s="9" t="s">
        <v>308</v>
      </c>
      <c r="H87" s="9" t="s">
        <v>31</v>
      </c>
      <c r="I87" s="9" t="s">
        <v>32</v>
      </c>
      <c r="J87" s="9" t="s">
        <v>1108</v>
      </c>
      <c r="K87" s="9"/>
      <c r="L87" s="9" t="s">
        <v>1171</v>
      </c>
      <c r="M87" s="9"/>
      <c r="N87" s="9"/>
      <c r="O87" s="7" t="s">
        <v>17</v>
      </c>
      <c r="P87" s="8" t="s">
        <v>284</v>
      </c>
      <c r="Q87" s="8"/>
      <c r="R87" s="8"/>
    </row>
    <row r="88" spans="2:18" ht="15" customHeight="1">
      <c r="B88" s="9" t="s">
        <v>310</v>
      </c>
      <c r="C88" s="9" t="s">
        <v>1118</v>
      </c>
      <c r="D88" s="9" t="s">
        <v>1158</v>
      </c>
      <c r="E88" s="15" t="s">
        <v>280</v>
      </c>
      <c r="F88" s="9" t="s">
        <v>281</v>
      </c>
      <c r="G88" s="9" t="s">
        <v>311</v>
      </c>
      <c r="H88" s="9" t="s">
        <v>31</v>
      </c>
      <c r="I88" s="9" t="s">
        <v>32</v>
      </c>
      <c r="J88" s="9" t="s">
        <v>1108</v>
      </c>
      <c r="K88" s="9"/>
      <c r="L88" s="9" t="s">
        <v>1172</v>
      </c>
      <c r="M88" s="9"/>
      <c r="N88" s="9"/>
      <c r="O88" s="7" t="s">
        <v>17</v>
      </c>
      <c r="P88" s="8" t="s">
        <v>284</v>
      </c>
      <c r="Q88" s="8"/>
      <c r="R88" s="8"/>
    </row>
    <row r="89" spans="2:18" ht="15" customHeight="1">
      <c r="B89" s="9" t="s">
        <v>313</v>
      </c>
      <c r="C89" s="9" t="s">
        <v>1118</v>
      </c>
      <c r="D89" s="9" t="s">
        <v>1158</v>
      </c>
      <c r="E89" s="15" t="s">
        <v>280</v>
      </c>
      <c r="F89" s="9" t="s">
        <v>281</v>
      </c>
      <c r="G89" s="9" t="s">
        <v>314</v>
      </c>
      <c r="H89" s="9" t="s">
        <v>31</v>
      </c>
      <c r="I89" s="9" t="s">
        <v>32</v>
      </c>
      <c r="J89" s="9" t="s">
        <v>1108</v>
      </c>
      <c r="K89" s="9"/>
      <c r="L89" s="9" t="s">
        <v>1173</v>
      </c>
      <c r="M89" s="9"/>
      <c r="N89" s="9"/>
      <c r="O89" s="7" t="s">
        <v>17</v>
      </c>
      <c r="P89" s="8" t="s">
        <v>284</v>
      </c>
      <c r="Q89" s="8"/>
      <c r="R89" s="8"/>
    </row>
    <row r="90" spans="2:18" ht="15" customHeight="1">
      <c r="B90" s="9" t="s">
        <v>316</v>
      </c>
      <c r="C90" s="9" t="s">
        <v>1118</v>
      </c>
      <c r="D90" s="9" t="s">
        <v>1158</v>
      </c>
      <c r="E90" s="15" t="s">
        <v>280</v>
      </c>
      <c r="F90" s="9" t="s">
        <v>281</v>
      </c>
      <c r="G90" s="9" t="s">
        <v>1174</v>
      </c>
      <c r="H90" s="9" t="s">
        <v>31</v>
      </c>
      <c r="I90" s="9" t="s">
        <v>32</v>
      </c>
      <c r="J90" s="9" t="s">
        <v>1108</v>
      </c>
      <c r="K90" s="9"/>
      <c r="L90" s="9" t="s">
        <v>1175</v>
      </c>
      <c r="M90" s="9"/>
      <c r="N90" s="9"/>
      <c r="O90" s="7" t="s">
        <v>17</v>
      </c>
      <c r="P90" s="8" t="s">
        <v>284</v>
      </c>
      <c r="Q90" s="8"/>
      <c r="R90" s="8"/>
    </row>
    <row r="91" spans="2:18" ht="15" customHeight="1">
      <c r="B91" s="9" t="s">
        <v>319</v>
      </c>
      <c r="C91" s="9" t="s">
        <v>1118</v>
      </c>
      <c r="D91" s="9" t="s">
        <v>1158</v>
      </c>
      <c r="E91" s="15" t="s">
        <v>280</v>
      </c>
      <c r="F91" s="9" t="s">
        <v>281</v>
      </c>
      <c r="G91" s="9" t="s">
        <v>1176</v>
      </c>
      <c r="H91" s="9" t="s">
        <v>31</v>
      </c>
      <c r="I91" s="9" t="s">
        <v>32</v>
      </c>
      <c r="J91" s="9" t="s">
        <v>1108</v>
      </c>
      <c r="K91" s="9"/>
      <c r="L91" s="9" t="s">
        <v>1177</v>
      </c>
      <c r="M91" s="9"/>
      <c r="N91" s="9"/>
      <c r="O91" s="7" t="s">
        <v>17</v>
      </c>
      <c r="P91" s="8" t="s">
        <v>284</v>
      </c>
      <c r="Q91" s="8"/>
      <c r="R91" s="8"/>
    </row>
    <row r="92" spans="2:18" ht="15" customHeight="1">
      <c r="B92" s="9" t="s">
        <v>322</v>
      </c>
      <c r="C92" s="9" t="s">
        <v>1118</v>
      </c>
      <c r="D92" s="9" t="s">
        <v>1158</v>
      </c>
      <c r="E92" s="15" t="s">
        <v>280</v>
      </c>
      <c r="F92" s="9" t="s">
        <v>281</v>
      </c>
      <c r="G92" s="9" t="s">
        <v>323</v>
      </c>
      <c r="H92" s="9" t="s">
        <v>31</v>
      </c>
      <c r="I92" s="9" t="s">
        <v>32</v>
      </c>
      <c r="J92" s="9" t="s">
        <v>1108</v>
      </c>
      <c r="K92" s="9"/>
      <c r="L92" s="9" t="s">
        <v>1178</v>
      </c>
      <c r="M92" s="9"/>
      <c r="N92" s="9"/>
      <c r="O92" s="7" t="s">
        <v>17</v>
      </c>
      <c r="P92" s="8" t="s">
        <v>284</v>
      </c>
      <c r="Q92" s="8"/>
      <c r="R92" s="8"/>
    </row>
    <row r="93" spans="2:18" ht="15" customHeight="1">
      <c r="B93" s="9" t="s">
        <v>325</v>
      </c>
      <c r="C93" s="9" t="s">
        <v>1118</v>
      </c>
      <c r="D93" s="9" t="s">
        <v>1158</v>
      </c>
      <c r="E93" s="15" t="s">
        <v>280</v>
      </c>
      <c r="F93" s="9" t="s">
        <v>281</v>
      </c>
      <c r="G93" s="9" t="s">
        <v>1179</v>
      </c>
      <c r="H93" s="9" t="s">
        <v>31</v>
      </c>
      <c r="I93" s="9" t="s">
        <v>32</v>
      </c>
      <c r="J93" s="9" t="s">
        <v>1108</v>
      </c>
      <c r="K93" s="9"/>
      <c r="L93" s="9" t="s">
        <v>1180</v>
      </c>
      <c r="M93" s="9"/>
      <c r="N93" s="9"/>
      <c r="O93" s="7" t="s">
        <v>17</v>
      </c>
      <c r="P93" s="8" t="s">
        <v>284</v>
      </c>
      <c r="Q93" s="8"/>
      <c r="R93" s="8"/>
    </row>
    <row r="94" spans="2:18" ht="15" customHeight="1">
      <c r="B94" s="9" t="s">
        <v>328</v>
      </c>
      <c r="C94" s="9" t="s">
        <v>1118</v>
      </c>
      <c r="D94" s="9" t="s">
        <v>1158</v>
      </c>
      <c r="E94" s="15" t="s">
        <v>280</v>
      </c>
      <c r="F94" s="9" t="s">
        <v>281</v>
      </c>
      <c r="G94" s="9" t="s">
        <v>329</v>
      </c>
      <c r="H94" s="9" t="s">
        <v>31</v>
      </c>
      <c r="I94" s="9" t="s">
        <v>32</v>
      </c>
      <c r="J94" s="9" t="s">
        <v>1108</v>
      </c>
      <c r="K94" s="9"/>
      <c r="L94" s="9" t="s">
        <v>1181</v>
      </c>
      <c r="M94" s="9"/>
      <c r="N94" s="9"/>
      <c r="O94" s="7" t="s">
        <v>17</v>
      </c>
      <c r="P94" s="8" t="s">
        <v>284</v>
      </c>
      <c r="Q94" s="8"/>
      <c r="R94" s="8"/>
    </row>
    <row r="95" spans="2:18" ht="15" customHeight="1">
      <c r="B95" s="9" t="s">
        <v>1182</v>
      </c>
      <c r="C95" s="9" t="s">
        <v>1118</v>
      </c>
      <c r="D95" s="9" t="s">
        <v>1158</v>
      </c>
      <c r="E95" s="15" t="s">
        <v>280</v>
      </c>
      <c r="F95" s="9" t="s">
        <v>281</v>
      </c>
      <c r="G95" s="9" t="s">
        <v>1183</v>
      </c>
      <c r="H95" s="9" t="s">
        <v>31</v>
      </c>
      <c r="I95" s="9" t="s">
        <v>32</v>
      </c>
      <c r="J95" s="9" t="s">
        <v>1108</v>
      </c>
      <c r="K95" s="9"/>
      <c r="L95" s="9" t="s">
        <v>1184</v>
      </c>
      <c r="M95" s="9"/>
      <c r="N95" s="9"/>
      <c r="O95" s="7" t="s">
        <v>17</v>
      </c>
      <c r="P95" s="8" t="s">
        <v>284</v>
      </c>
      <c r="Q95" s="8"/>
      <c r="R95" s="8"/>
    </row>
    <row r="96" spans="2:18" ht="15" customHeight="1">
      <c r="B96" s="9" t="s">
        <v>1185</v>
      </c>
      <c r="C96" s="9" t="s">
        <v>1118</v>
      </c>
      <c r="D96" s="9" t="s">
        <v>1158</v>
      </c>
      <c r="E96" s="15" t="s">
        <v>280</v>
      </c>
      <c r="F96" s="9" t="s">
        <v>281</v>
      </c>
      <c r="G96" s="9" t="s">
        <v>1186</v>
      </c>
      <c r="H96" s="9" t="s">
        <v>31</v>
      </c>
      <c r="I96" s="9" t="s">
        <v>32</v>
      </c>
      <c r="J96" s="9" t="s">
        <v>1108</v>
      </c>
      <c r="K96" s="9"/>
      <c r="L96" s="9" t="s">
        <v>1187</v>
      </c>
      <c r="M96" s="9"/>
      <c r="N96" s="9"/>
      <c r="O96" s="7" t="s">
        <v>17</v>
      </c>
      <c r="P96" s="8" t="s">
        <v>284</v>
      </c>
      <c r="Q96" s="8"/>
      <c r="R96" s="8"/>
    </row>
    <row r="97" spans="2:18" ht="15" customHeight="1">
      <c r="B97" s="9" t="s">
        <v>1188</v>
      </c>
      <c r="C97" s="9" t="s">
        <v>1118</v>
      </c>
      <c r="D97" s="9" t="s">
        <v>1158</v>
      </c>
      <c r="E97" s="15" t="s">
        <v>280</v>
      </c>
      <c r="F97" s="9" t="s">
        <v>281</v>
      </c>
      <c r="G97" s="9" t="s">
        <v>1189</v>
      </c>
      <c r="H97" s="9" t="s">
        <v>31</v>
      </c>
      <c r="I97" s="9" t="s">
        <v>32</v>
      </c>
      <c r="J97" s="9" t="s">
        <v>1108</v>
      </c>
      <c r="K97" s="9"/>
      <c r="L97" s="9" t="s">
        <v>1190</v>
      </c>
      <c r="M97" s="9"/>
      <c r="N97" s="9"/>
      <c r="O97" s="7" t="s">
        <v>17</v>
      </c>
      <c r="P97" s="8" t="s">
        <v>284</v>
      </c>
      <c r="Q97" s="8"/>
      <c r="R97" s="8"/>
    </row>
    <row r="98" spans="2:18" ht="15" customHeight="1">
      <c r="B98" s="9" t="s">
        <v>1191</v>
      </c>
      <c r="C98" s="9" t="s">
        <v>1118</v>
      </c>
      <c r="D98" s="9" t="s">
        <v>1158</v>
      </c>
      <c r="E98" s="15" t="s">
        <v>280</v>
      </c>
      <c r="F98" s="9" t="s">
        <v>281</v>
      </c>
      <c r="G98" s="9" t="s">
        <v>1192</v>
      </c>
      <c r="H98" s="9" t="s">
        <v>31</v>
      </c>
      <c r="I98" s="9" t="s">
        <v>32</v>
      </c>
      <c r="J98" s="9" t="s">
        <v>1108</v>
      </c>
      <c r="K98" s="9"/>
      <c r="L98" s="9" t="s">
        <v>1193</v>
      </c>
      <c r="M98" s="9"/>
      <c r="N98" s="9"/>
      <c r="O98" s="7" t="s">
        <v>17</v>
      </c>
      <c r="P98" s="8" t="s">
        <v>284</v>
      </c>
      <c r="Q98" s="8"/>
      <c r="R98" s="8"/>
    </row>
    <row r="99" spans="2:18" ht="15" customHeight="1">
      <c r="B99" s="9" t="s">
        <v>1194</v>
      </c>
      <c r="C99" s="9" t="s">
        <v>1118</v>
      </c>
      <c r="D99" s="9" t="s">
        <v>1158</v>
      </c>
      <c r="E99" s="15" t="s">
        <v>280</v>
      </c>
      <c r="F99" s="9" t="s">
        <v>281</v>
      </c>
      <c r="G99" s="9" t="s">
        <v>1195</v>
      </c>
      <c r="H99" s="9" t="s">
        <v>31</v>
      </c>
      <c r="I99" s="9" t="s">
        <v>32</v>
      </c>
      <c r="J99" s="9" t="s">
        <v>1108</v>
      </c>
      <c r="K99" s="9"/>
      <c r="L99" s="9" t="s">
        <v>1196</v>
      </c>
      <c r="M99" s="9"/>
      <c r="N99" s="9"/>
      <c r="O99" s="7" t="s">
        <v>17</v>
      </c>
      <c r="P99" s="8" t="s">
        <v>284</v>
      </c>
      <c r="Q99" s="8"/>
      <c r="R99" s="8"/>
    </row>
    <row r="100" spans="2:18" ht="15" customHeight="1">
      <c r="B100" s="9" t="s">
        <v>1197</v>
      </c>
      <c r="C100" s="9" t="s">
        <v>1118</v>
      </c>
      <c r="D100" s="9" t="s">
        <v>1158</v>
      </c>
      <c r="E100" s="15" t="s">
        <v>280</v>
      </c>
      <c r="F100" s="9" t="s">
        <v>281</v>
      </c>
      <c r="G100" s="9" t="s">
        <v>1198</v>
      </c>
      <c r="H100" s="9" t="s">
        <v>31</v>
      </c>
      <c r="I100" s="9" t="s">
        <v>32</v>
      </c>
      <c r="J100" s="9" t="s">
        <v>1108</v>
      </c>
      <c r="K100" s="9"/>
      <c r="L100" s="9" t="s">
        <v>1199</v>
      </c>
      <c r="M100" s="9"/>
      <c r="N100" s="9"/>
      <c r="O100" s="7" t="s">
        <v>17</v>
      </c>
      <c r="P100" s="8" t="s">
        <v>284</v>
      </c>
      <c r="Q100" s="8"/>
      <c r="R100" s="8"/>
    </row>
    <row r="101" spans="2:18" ht="15" customHeight="1">
      <c r="B101" s="9" t="s">
        <v>1200</v>
      </c>
      <c r="C101" s="9" t="s">
        <v>1118</v>
      </c>
      <c r="D101" s="9" t="s">
        <v>1158</v>
      </c>
      <c r="E101" s="15" t="s">
        <v>280</v>
      </c>
      <c r="F101" s="9" t="s">
        <v>281</v>
      </c>
      <c r="G101" s="9" t="s">
        <v>1201</v>
      </c>
      <c r="H101" s="9" t="s">
        <v>31</v>
      </c>
      <c r="I101" s="9" t="s">
        <v>32</v>
      </c>
      <c r="J101" s="9" t="s">
        <v>1108</v>
      </c>
      <c r="K101" s="9"/>
      <c r="L101" s="9" t="s">
        <v>1202</v>
      </c>
      <c r="M101" s="9"/>
      <c r="N101" s="9"/>
      <c r="O101" s="7" t="s">
        <v>17</v>
      </c>
      <c r="P101" s="8" t="s">
        <v>284</v>
      </c>
      <c r="Q101" s="8"/>
      <c r="R101" s="8"/>
    </row>
    <row r="102" spans="2:18" ht="15" customHeight="1">
      <c r="B102" s="9" t="s">
        <v>331</v>
      </c>
      <c r="C102" s="9" t="s">
        <v>1118</v>
      </c>
      <c r="D102" s="9" t="s">
        <v>1158</v>
      </c>
      <c r="E102" s="15" t="s">
        <v>280</v>
      </c>
      <c r="F102" s="9" t="s">
        <v>281</v>
      </c>
      <c r="G102" s="9" t="s">
        <v>1203</v>
      </c>
      <c r="H102" s="9" t="s">
        <v>58</v>
      </c>
      <c r="I102" s="9" t="s">
        <v>32</v>
      </c>
      <c r="J102" s="9" t="s">
        <v>1108</v>
      </c>
      <c r="K102" s="9"/>
      <c r="L102" s="9"/>
      <c r="M102" s="9"/>
      <c r="N102" s="9"/>
      <c r="O102" s="12" t="s">
        <v>277</v>
      </c>
      <c r="P102" s="8" t="s">
        <v>333</v>
      </c>
      <c r="Q102" s="8"/>
      <c r="R102" s="8"/>
    </row>
    <row r="103" spans="2:18" ht="15" customHeight="1">
      <c r="B103" s="9" t="s">
        <v>334</v>
      </c>
      <c r="C103" s="9" t="s">
        <v>1118</v>
      </c>
      <c r="D103" s="9" t="s">
        <v>1158</v>
      </c>
      <c r="E103" s="15" t="s">
        <v>280</v>
      </c>
      <c r="F103" s="9" t="s">
        <v>281</v>
      </c>
      <c r="G103" s="9" t="s">
        <v>1204</v>
      </c>
      <c r="H103" s="9" t="s">
        <v>58</v>
      </c>
      <c r="I103" s="9" t="s">
        <v>32</v>
      </c>
      <c r="J103" s="9" t="s">
        <v>1108</v>
      </c>
      <c r="K103" s="9"/>
      <c r="L103" s="9"/>
      <c r="M103" s="9"/>
      <c r="N103" s="9"/>
      <c r="O103" s="12" t="s">
        <v>277</v>
      </c>
      <c r="P103" s="8" t="s">
        <v>333</v>
      </c>
      <c r="Q103" s="8"/>
      <c r="R103" s="8"/>
    </row>
    <row r="104" spans="2:18" ht="15" customHeight="1">
      <c r="B104" s="9" t="s">
        <v>336</v>
      </c>
      <c r="C104" s="9" t="s">
        <v>1118</v>
      </c>
      <c r="D104" s="9" t="s">
        <v>1158</v>
      </c>
      <c r="E104" s="15" t="s">
        <v>280</v>
      </c>
      <c r="F104" s="9" t="s">
        <v>281</v>
      </c>
      <c r="G104" s="9" t="s">
        <v>1205</v>
      </c>
      <c r="H104" s="9" t="s">
        <v>58</v>
      </c>
      <c r="I104" s="9" t="s">
        <v>32</v>
      </c>
      <c r="J104" s="9" t="s">
        <v>1108</v>
      </c>
      <c r="K104" s="9"/>
      <c r="L104" s="9"/>
      <c r="M104" s="9"/>
      <c r="N104" s="9"/>
      <c r="O104" s="12" t="s">
        <v>277</v>
      </c>
      <c r="P104" s="8" t="s">
        <v>333</v>
      </c>
      <c r="Q104" s="8"/>
      <c r="R104" s="8"/>
    </row>
    <row r="105" spans="2:18" ht="15" customHeight="1">
      <c r="B105" s="9" t="s">
        <v>338</v>
      </c>
      <c r="C105" s="9" t="s">
        <v>1118</v>
      </c>
      <c r="D105" s="9" t="s">
        <v>1158</v>
      </c>
      <c r="E105" s="15" t="s">
        <v>280</v>
      </c>
      <c r="F105" s="9" t="s">
        <v>281</v>
      </c>
      <c r="G105" s="9" t="s">
        <v>1206</v>
      </c>
      <c r="H105" s="9" t="s">
        <v>58</v>
      </c>
      <c r="I105" s="9" t="s">
        <v>32</v>
      </c>
      <c r="J105" s="9" t="s">
        <v>1108</v>
      </c>
      <c r="K105" s="9"/>
      <c r="L105" s="9"/>
      <c r="M105" s="9"/>
      <c r="N105" s="9"/>
      <c r="O105" s="12" t="s">
        <v>277</v>
      </c>
      <c r="P105" s="8" t="s">
        <v>333</v>
      </c>
      <c r="Q105" s="8"/>
      <c r="R105" s="8"/>
    </row>
    <row r="106" spans="2:18" ht="15" customHeight="1">
      <c r="B106" s="9" t="s">
        <v>340</v>
      </c>
      <c r="C106" s="9" t="s">
        <v>1118</v>
      </c>
      <c r="D106" s="9" t="s">
        <v>1158</v>
      </c>
      <c r="E106" s="15" t="s">
        <v>280</v>
      </c>
      <c r="F106" s="9" t="s">
        <v>281</v>
      </c>
      <c r="G106" s="9" t="s">
        <v>341</v>
      </c>
      <c r="H106" s="9" t="s">
        <v>58</v>
      </c>
      <c r="I106" s="9" t="s">
        <v>32</v>
      </c>
      <c r="J106" s="9" t="s">
        <v>1108</v>
      </c>
      <c r="K106" s="9"/>
      <c r="L106" s="9"/>
      <c r="M106" s="9"/>
      <c r="N106" s="9"/>
      <c r="O106" s="12" t="s">
        <v>277</v>
      </c>
      <c r="P106" s="8" t="s">
        <v>333</v>
      </c>
      <c r="Q106" s="8"/>
      <c r="R106" s="8"/>
    </row>
    <row r="107" spans="2:18" ht="15" customHeight="1">
      <c r="B107" s="9" t="s">
        <v>342</v>
      </c>
      <c r="C107" s="9" t="s">
        <v>1118</v>
      </c>
      <c r="D107" s="9" t="s">
        <v>1158</v>
      </c>
      <c r="E107" s="15" t="s">
        <v>280</v>
      </c>
      <c r="F107" s="9" t="s">
        <v>281</v>
      </c>
      <c r="G107" s="9" t="s">
        <v>1207</v>
      </c>
      <c r="H107" s="9" t="s">
        <v>58</v>
      </c>
      <c r="I107" s="9" t="s">
        <v>32</v>
      </c>
      <c r="J107" s="9" t="s">
        <v>1108</v>
      </c>
      <c r="K107" s="9"/>
      <c r="L107" s="9"/>
      <c r="M107" s="9"/>
      <c r="N107" s="9"/>
      <c r="O107" s="12" t="s">
        <v>277</v>
      </c>
      <c r="P107" s="8" t="s">
        <v>333</v>
      </c>
      <c r="Q107" s="8"/>
      <c r="R107" s="8"/>
    </row>
    <row r="108" spans="2:18" ht="15" customHeight="1">
      <c r="B108" s="9" t="s">
        <v>344</v>
      </c>
      <c r="C108" s="9" t="s">
        <v>1118</v>
      </c>
      <c r="D108" s="9" t="s">
        <v>1158</v>
      </c>
      <c r="E108" s="15" t="s">
        <v>280</v>
      </c>
      <c r="F108" s="9" t="s">
        <v>281</v>
      </c>
      <c r="G108" s="9" t="s">
        <v>345</v>
      </c>
      <c r="H108" s="9" t="s">
        <v>58</v>
      </c>
      <c r="I108" s="9" t="s">
        <v>32</v>
      </c>
      <c r="J108" s="9" t="s">
        <v>1108</v>
      </c>
      <c r="K108" s="9"/>
      <c r="L108" s="9"/>
      <c r="M108" s="9"/>
      <c r="N108" s="9"/>
      <c r="O108" s="12" t="s">
        <v>277</v>
      </c>
      <c r="P108" s="8" t="s">
        <v>333</v>
      </c>
      <c r="Q108" s="8"/>
      <c r="R108" s="8"/>
    </row>
    <row r="109" spans="2:18" ht="15" customHeight="1">
      <c r="B109" s="9" t="s">
        <v>1208</v>
      </c>
      <c r="C109" s="9" t="s">
        <v>1118</v>
      </c>
      <c r="D109" s="9" t="s">
        <v>1158</v>
      </c>
      <c r="E109" s="15" t="s">
        <v>280</v>
      </c>
      <c r="F109" s="9" t="s">
        <v>281</v>
      </c>
      <c r="G109" s="9" t="s">
        <v>1209</v>
      </c>
      <c r="H109" s="9" t="s">
        <v>58</v>
      </c>
      <c r="I109" s="9" t="s">
        <v>32</v>
      </c>
      <c r="J109" s="9" t="s">
        <v>1108</v>
      </c>
      <c r="K109" s="9"/>
      <c r="L109" s="9"/>
      <c r="M109" s="9"/>
      <c r="N109" s="9"/>
      <c r="O109" s="12" t="s">
        <v>277</v>
      </c>
      <c r="P109" s="8" t="s">
        <v>333</v>
      </c>
      <c r="Q109" s="8"/>
      <c r="R109" s="8"/>
    </row>
    <row r="110" spans="2:18" ht="15" customHeight="1">
      <c r="B110" s="9" t="s">
        <v>1210</v>
      </c>
      <c r="C110" s="9" t="s">
        <v>1118</v>
      </c>
      <c r="D110" s="9" t="s">
        <v>1158</v>
      </c>
      <c r="E110" s="15" t="s">
        <v>280</v>
      </c>
      <c r="F110" s="9" t="s">
        <v>281</v>
      </c>
      <c r="G110" s="9" t="s">
        <v>1211</v>
      </c>
      <c r="H110" s="9" t="s">
        <v>58</v>
      </c>
      <c r="I110" s="9" t="s">
        <v>32</v>
      </c>
      <c r="J110" s="9" t="s">
        <v>1108</v>
      </c>
      <c r="K110" s="9"/>
      <c r="L110" s="9"/>
      <c r="M110" s="9"/>
      <c r="N110" s="9"/>
      <c r="O110" s="12" t="s">
        <v>277</v>
      </c>
      <c r="P110" s="8" t="s">
        <v>333</v>
      </c>
      <c r="Q110" s="8"/>
      <c r="R110" s="8"/>
    </row>
    <row r="111" spans="2:18" ht="15" customHeight="1">
      <c r="B111" s="9" t="s">
        <v>346</v>
      </c>
      <c r="C111" s="9" t="s">
        <v>1118</v>
      </c>
      <c r="D111" s="9" t="s">
        <v>1158</v>
      </c>
      <c r="E111" s="15" t="s">
        <v>280</v>
      </c>
      <c r="F111" s="9" t="s">
        <v>281</v>
      </c>
      <c r="G111" s="9" t="s">
        <v>347</v>
      </c>
      <c r="H111" s="9" t="s">
        <v>58</v>
      </c>
      <c r="I111" s="9" t="s">
        <v>32</v>
      </c>
      <c r="J111" s="9" t="s">
        <v>1108</v>
      </c>
      <c r="K111" s="9"/>
      <c r="L111" s="9"/>
      <c r="M111" s="9"/>
      <c r="N111" s="9"/>
      <c r="O111" s="7" t="s">
        <v>17</v>
      </c>
      <c r="P111" s="8" t="s">
        <v>348</v>
      </c>
      <c r="Q111" s="8"/>
      <c r="R111" s="8"/>
    </row>
    <row r="112" spans="2:18" ht="15" customHeight="1">
      <c r="B112" s="9" t="s">
        <v>349</v>
      </c>
      <c r="C112" s="9" t="s">
        <v>1118</v>
      </c>
      <c r="D112" s="9" t="s">
        <v>1158</v>
      </c>
      <c r="E112" s="15" t="s">
        <v>280</v>
      </c>
      <c r="F112" s="9" t="s">
        <v>281</v>
      </c>
      <c r="G112" s="9" t="s">
        <v>1212</v>
      </c>
      <c r="H112" s="9" t="s">
        <v>58</v>
      </c>
      <c r="I112" s="9" t="s">
        <v>32</v>
      </c>
      <c r="J112" s="9" t="s">
        <v>1108</v>
      </c>
      <c r="K112" s="9"/>
      <c r="L112" s="9"/>
      <c r="M112" s="9"/>
      <c r="N112" s="9"/>
      <c r="O112" s="7" t="s">
        <v>17</v>
      </c>
      <c r="P112" s="8" t="s">
        <v>348</v>
      </c>
      <c r="Q112" s="8"/>
      <c r="R112" s="8"/>
    </row>
    <row r="113" spans="2:18" ht="15" customHeight="1">
      <c r="B113" s="9" t="s">
        <v>351</v>
      </c>
      <c r="C113" s="9" t="s">
        <v>1118</v>
      </c>
      <c r="D113" s="9" t="s">
        <v>1158</v>
      </c>
      <c r="E113" s="15" t="s">
        <v>280</v>
      </c>
      <c r="F113" s="9" t="s">
        <v>281</v>
      </c>
      <c r="G113" s="9" t="s">
        <v>1213</v>
      </c>
      <c r="H113" s="9" t="s">
        <v>58</v>
      </c>
      <c r="I113" s="9" t="s">
        <v>32</v>
      </c>
      <c r="J113" s="9" t="s">
        <v>1108</v>
      </c>
      <c r="K113" s="9"/>
      <c r="L113" s="9"/>
      <c r="M113" s="9"/>
      <c r="N113" s="9"/>
      <c r="O113" s="7" t="s">
        <v>17</v>
      </c>
      <c r="P113" s="8" t="s">
        <v>348</v>
      </c>
      <c r="Q113" s="8"/>
      <c r="R113" s="8"/>
    </row>
    <row r="114" spans="2:18" ht="15" customHeight="1">
      <c r="B114" s="9" t="s">
        <v>353</v>
      </c>
      <c r="C114" s="9" t="s">
        <v>1118</v>
      </c>
      <c r="D114" s="9" t="s">
        <v>1158</v>
      </c>
      <c r="E114" s="15" t="s">
        <v>280</v>
      </c>
      <c r="F114" s="9" t="s">
        <v>281</v>
      </c>
      <c r="G114" s="9" t="s">
        <v>1214</v>
      </c>
      <c r="H114" s="9" t="s">
        <v>58</v>
      </c>
      <c r="I114" s="9" t="s">
        <v>32</v>
      </c>
      <c r="J114" s="9" t="s">
        <v>1108</v>
      </c>
      <c r="K114" s="9"/>
      <c r="L114" s="9"/>
      <c r="M114" s="9"/>
      <c r="N114" s="9"/>
      <c r="O114" s="7" t="s">
        <v>17</v>
      </c>
      <c r="P114" s="8" t="s">
        <v>348</v>
      </c>
      <c r="Q114" s="8"/>
      <c r="R114" s="8"/>
    </row>
    <row r="115" spans="2:18" ht="15" customHeight="1">
      <c r="B115" s="9" t="s">
        <v>355</v>
      </c>
      <c r="C115" s="9" t="s">
        <v>1118</v>
      </c>
      <c r="D115" s="9" t="s">
        <v>1158</v>
      </c>
      <c r="E115" s="15" t="s">
        <v>280</v>
      </c>
      <c r="F115" s="9" t="s">
        <v>281</v>
      </c>
      <c r="G115" s="9" t="s">
        <v>356</v>
      </c>
      <c r="H115" s="9" t="s">
        <v>58</v>
      </c>
      <c r="I115" s="9" t="s">
        <v>32</v>
      </c>
      <c r="J115" s="9" t="s">
        <v>1108</v>
      </c>
      <c r="K115" s="9"/>
      <c r="L115" s="9"/>
      <c r="M115" s="9"/>
      <c r="N115" s="9"/>
      <c r="O115" s="7" t="s">
        <v>17</v>
      </c>
      <c r="P115" s="8" t="s">
        <v>348</v>
      </c>
      <c r="Q115" s="8"/>
      <c r="R115" s="8"/>
    </row>
    <row r="116" spans="2:18" ht="15" customHeight="1">
      <c r="B116" s="9" t="s">
        <v>357</v>
      </c>
      <c r="C116" s="9" t="s">
        <v>1118</v>
      </c>
      <c r="D116" s="9" t="s">
        <v>1158</v>
      </c>
      <c r="E116" s="15" t="s">
        <v>280</v>
      </c>
      <c r="F116" s="9" t="s">
        <v>281</v>
      </c>
      <c r="G116" s="9" t="s">
        <v>1215</v>
      </c>
      <c r="H116" s="9" t="s">
        <v>58</v>
      </c>
      <c r="I116" s="9" t="s">
        <v>32</v>
      </c>
      <c r="J116" s="9" t="s">
        <v>1108</v>
      </c>
      <c r="K116" s="9"/>
      <c r="L116" s="9"/>
      <c r="M116" s="9"/>
      <c r="N116" s="9"/>
      <c r="O116" s="7" t="s">
        <v>17</v>
      </c>
      <c r="P116" s="8" t="s">
        <v>348</v>
      </c>
      <c r="Q116" s="8"/>
      <c r="R116" s="8"/>
    </row>
    <row r="117" spans="2:18" ht="15" customHeight="1">
      <c r="B117" s="9" t="s">
        <v>359</v>
      </c>
      <c r="C117" s="9" t="s">
        <v>1118</v>
      </c>
      <c r="D117" s="9" t="s">
        <v>1158</v>
      </c>
      <c r="E117" s="15" t="s">
        <v>280</v>
      </c>
      <c r="F117" s="9" t="s">
        <v>281</v>
      </c>
      <c r="G117" s="9" t="s">
        <v>360</v>
      </c>
      <c r="H117" s="9" t="s">
        <v>58</v>
      </c>
      <c r="I117" s="9" t="s">
        <v>32</v>
      </c>
      <c r="J117" s="9" t="s">
        <v>1108</v>
      </c>
      <c r="K117" s="9"/>
      <c r="L117" s="9"/>
      <c r="M117" s="9"/>
      <c r="N117" s="9"/>
      <c r="O117" s="7" t="s">
        <v>17</v>
      </c>
      <c r="P117" s="8" t="s">
        <v>348</v>
      </c>
      <c r="Q117" s="8"/>
      <c r="R117" s="8"/>
    </row>
    <row r="118" spans="2:18" ht="15" customHeight="1">
      <c r="B118" s="9" t="s">
        <v>361</v>
      </c>
      <c r="C118" s="9" t="s">
        <v>1118</v>
      </c>
      <c r="D118" s="9" t="s">
        <v>1158</v>
      </c>
      <c r="E118" s="15" t="s">
        <v>280</v>
      </c>
      <c r="F118" s="9" t="s">
        <v>281</v>
      </c>
      <c r="G118" s="9" t="s">
        <v>362</v>
      </c>
      <c r="H118" s="9" t="s">
        <v>58</v>
      </c>
      <c r="I118" s="9" t="s">
        <v>32</v>
      </c>
      <c r="J118" s="9" t="s">
        <v>1108</v>
      </c>
      <c r="K118" s="9"/>
      <c r="L118" s="9"/>
      <c r="M118" s="9"/>
      <c r="N118" s="9"/>
      <c r="O118" s="7" t="s">
        <v>17</v>
      </c>
      <c r="P118" s="8" t="s">
        <v>284</v>
      </c>
      <c r="Q118" s="8"/>
      <c r="R118" s="8"/>
    </row>
    <row r="119" spans="2:18" ht="15" customHeight="1">
      <c r="B119" s="9" t="s">
        <v>363</v>
      </c>
      <c r="C119" s="9" t="s">
        <v>1118</v>
      </c>
      <c r="D119" s="9" t="s">
        <v>1158</v>
      </c>
      <c r="E119" s="15" t="s">
        <v>280</v>
      </c>
      <c r="F119" s="9" t="s">
        <v>281</v>
      </c>
      <c r="G119" s="9" t="s">
        <v>364</v>
      </c>
      <c r="H119" s="9" t="s">
        <v>58</v>
      </c>
      <c r="I119" s="9" t="s">
        <v>32</v>
      </c>
      <c r="J119" s="9" t="s">
        <v>1108</v>
      </c>
      <c r="K119" s="9"/>
      <c r="L119" s="9"/>
      <c r="M119" s="9"/>
      <c r="N119" s="9"/>
      <c r="O119" s="7" t="s">
        <v>17</v>
      </c>
      <c r="P119" s="8" t="s">
        <v>284</v>
      </c>
      <c r="Q119" s="8"/>
      <c r="R119" s="8"/>
    </row>
    <row r="120" spans="2:18" ht="15" customHeight="1">
      <c r="B120" s="9" t="s">
        <v>365</v>
      </c>
      <c r="C120" s="9" t="s">
        <v>1118</v>
      </c>
      <c r="D120" s="9" t="s">
        <v>1158</v>
      </c>
      <c r="E120" s="15" t="s">
        <v>280</v>
      </c>
      <c r="F120" s="9" t="s">
        <v>281</v>
      </c>
      <c r="G120" s="9" t="s">
        <v>366</v>
      </c>
      <c r="H120" s="9" t="s">
        <v>82</v>
      </c>
      <c r="I120" s="9" t="s">
        <v>32</v>
      </c>
      <c r="J120" s="9" t="s">
        <v>1116</v>
      </c>
      <c r="K120" s="9"/>
      <c r="L120" s="9"/>
      <c r="M120" s="9"/>
      <c r="N120" s="9"/>
      <c r="O120" s="7" t="s">
        <v>17</v>
      </c>
      <c r="P120" s="8" t="s">
        <v>367</v>
      </c>
      <c r="Q120" s="8"/>
      <c r="R120" s="8"/>
    </row>
    <row r="121" spans="2:18" ht="15" customHeight="1">
      <c r="B121" s="9" t="s">
        <v>368</v>
      </c>
      <c r="C121" s="9" t="s">
        <v>1118</v>
      </c>
      <c r="D121" s="9" t="s">
        <v>1158</v>
      </c>
      <c r="E121" s="15" t="s">
        <v>280</v>
      </c>
      <c r="F121" s="9" t="s">
        <v>281</v>
      </c>
      <c r="G121" s="9" t="s">
        <v>369</v>
      </c>
      <c r="H121" s="9" t="s">
        <v>58</v>
      </c>
      <c r="I121" s="9" t="s">
        <v>32</v>
      </c>
      <c r="J121" s="9" t="s">
        <v>1108</v>
      </c>
      <c r="K121" s="9"/>
      <c r="L121" s="9"/>
      <c r="M121" s="9"/>
      <c r="N121" s="9"/>
      <c r="O121" s="7" t="s">
        <v>17</v>
      </c>
      <c r="P121" s="8" t="s">
        <v>367</v>
      </c>
      <c r="Q121" s="8"/>
      <c r="R121" s="8"/>
    </row>
    <row r="122" spans="2:18" ht="15" customHeight="1">
      <c r="B122" s="9" t="s">
        <v>370</v>
      </c>
      <c r="C122" s="9" t="s">
        <v>1118</v>
      </c>
      <c r="D122" s="9" t="s">
        <v>1158</v>
      </c>
      <c r="E122" s="15" t="s">
        <v>280</v>
      </c>
      <c r="F122" s="9" t="s">
        <v>281</v>
      </c>
      <c r="G122" s="9" t="s">
        <v>371</v>
      </c>
      <c r="H122" s="9" t="s">
        <v>82</v>
      </c>
      <c r="I122" s="9" t="s">
        <v>83</v>
      </c>
      <c r="J122" s="9" t="s">
        <v>1116</v>
      </c>
      <c r="K122" s="9"/>
      <c r="L122" s="9"/>
      <c r="M122" s="9"/>
      <c r="N122" s="9"/>
      <c r="O122" s="7" t="s">
        <v>17</v>
      </c>
      <c r="P122" s="8" t="s">
        <v>367</v>
      </c>
      <c r="Q122" s="8"/>
      <c r="R122" s="8"/>
    </row>
    <row r="123" spans="2:18" ht="15" customHeight="1">
      <c r="B123" s="9" t="s">
        <v>372</v>
      </c>
      <c r="C123" s="9" t="s">
        <v>1118</v>
      </c>
      <c r="D123" s="9" t="s">
        <v>1158</v>
      </c>
      <c r="E123" s="15" t="s">
        <v>280</v>
      </c>
      <c r="F123" s="9" t="s">
        <v>281</v>
      </c>
      <c r="G123" s="9" t="s">
        <v>373</v>
      </c>
      <c r="H123" s="9" t="s">
        <v>58</v>
      </c>
      <c r="I123" s="9" t="s">
        <v>32</v>
      </c>
      <c r="J123" s="9" t="s">
        <v>1108</v>
      </c>
      <c r="K123" s="9"/>
      <c r="L123" s="9"/>
      <c r="M123" s="9"/>
      <c r="N123" s="9"/>
      <c r="O123" s="7" t="s">
        <v>17</v>
      </c>
      <c r="P123" s="8" t="s">
        <v>367</v>
      </c>
      <c r="Q123" s="8"/>
      <c r="R123" s="8"/>
    </row>
    <row r="124" spans="2:18" ht="15" customHeight="1">
      <c r="B124" s="9" t="s">
        <v>374</v>
      </c>
      <c r="C124" s="9" t="s">
        <v>1118</v>
      </c>
      <c r="D124" s="9" t="s">
        <v>1158</v>
      </c>
      <c r="E124" s="15" t="s">
        <v>280</v>
      </c>
      <c r="F124" s="9" t="s">
        <v>281</v>
      </c>
      <c r="G124" s="9" t="s">
        <v>375</v>
      </c>
      <c r="H124" s="9" t="s">
        <v>58</v>
      </c>
      <c r="I124" s="9" t="s">
        <v>32</v>
      </c>
      <c r="J124" s="9" t="s">
        <v>1108</v>
      </c>
      <c r="K124" s="9"/>
      <c r="L124" s="9" t="s">
        <v>1216</v>
      </c>
      <c r="M124" s="9"/>
      <c r="N124" s="9"/>
      <c r="O124" s="7" t="s">
        <v>17</v>
      </c>
      <c r="P124" s="8" t="s">
        <v>284</v>
      </c>
      <c r="Q124" s="8"/>
      <c r="R124" s="8"/>
    </row>
    <row r="125" spans="2:18" ht="15" customHeight="1">
      <c r="B125" s="9" t="s">
        <v>377</v>
      </c>
      <c r="C125" s="9" t="s">
        <v>1118</v>
      </c>
      <c r="D125" s="9" t="s">
        <v>1158</v>
      </c>
      <c r="E125" s="15" t="s">
        <v>280</v>
      </c>
      <c r="F125" s="9" t="s">
        <v>281</v>
      </c>
      <c r="G125" s="9" t="s">
        <v>378</v>
      </c>
      <c r="H125" s="9" t="s">
        <v>58</v>
      </c>
      <c r="I125" s="9" t="s">
        <v>32</v>
      </c>
      <c r="J125" s="9" t="s">
        <v>1108</v>
      </c>
      <c r="K125" s="9"/>
      <c r="L125" s="9" t="s">
        <v>1216</v>
      </c>
      <c r="M125" s="9"/>
      <c r="N125" s="9"/>
      <c r="O125" s="7" t="s">
        <v>17</v>
      </c>
      <c r="P125" s="8" t="s">
        <v>284</v>
      </c>
      <c r="Q125" s="8"/>
      <c r="R125" s="8"/>
    </row>
    <row r="126" spans="2:18" ht="15" customHeight="1">
      <c r="B126" s="9" t="s">
        <v>379</v>
      </c>
      <c r="C126" s="9" t="s">
        <v>1118</v>
      </c>
      <c r="D126" s="9" t="s">
        <v>1158</v>
      </c>
      <c r="E126" s="15" t="s">
        <v>280</v>
      </c>
      <c r="F126" s="9" t="s">
        <v>281</v>
      </c>
      <c r="G126" s="9" t="s">
        <v>380</v>
      </c>
      <c r="H126" s="9" t="s">
        <v>82</v>
      </c>
      <c r="I126" s="9" t="s">
        <v>83</v>
      </c>
      <c r="J126" s="9" t="s">
        <v>1116</v>
      </c>
      <c r="K126" s="9"/>
      <c r="L126" s="9"/>
      <c r="M126" s="9"/>
      <c r="N126" s="9"/>
      <c r="O126" s="7" t="s">
        <v>17</v>
      </c>
      <c r="P126" s="8" t="s">
        <v>284</v>
      </c>
      <c r="Q126" s="8"/>
      <c r="R126" s="8"/>
    </row>
    <row r="127" spans="2:18" ht="15" customHeight="1">
      <c r="B127" s="9" t="s">
        <v>381</v>
      </c>
      <c r="C127" s="9" t="s">
        <v>1118</v>
      </c>
      <c r="D127" s="9" t="s">
        <v>1158</v>
      </c>
      <c r="E127" s="15" t="s">
        <v>280</v>
      </c>
      <c r="F127" s="9" t="s">
        <v>281</v>
      </c>
      <c r="G127" s="9" t="s">
        <v>382</v>
      </c>
      <c r="H127" s="9" t="s">
        <v>82</v>
      </c>
      <c r="I127" s="9" t="s">
        <v>83</v>
      </c>
      <c r="J127" s="9" t="s">
        <v>1116</v>
      </c>
      <c r="K127" s="9"/>
      <c r="L127" s="9"/>
      <c r="M127" s="9"/>
      <c r="N127" s="9"/>
      <c r="O127" s="7" t="s">
        <v>17</v>
      </c>
      <c r="P127" s="8" t="s">
        <v>284</v>
      </c>
      <c r="Q127" s="8"/>
      <c r="R127" s="8"/>
    </row>
    <row r="128" spans="2:18" ht="15" customHeight="1">
      <c r="B128" s="9" t="s">
        <v>383</v>
      </c>
      <c r="C128" s="9" t="s">
        <v>1118</v>
      </c>
      <c r="D128" s="9" t="s">
        <v>1158</v>
      </c>
      <c r="E128" s="15" t="s">
        <v>280</v>
      </c>
      <c r="F128" s="9" t="s">
        <v>281</v>
      </c>
      <c r="G128" s="9" t="s">
        <v>384</v>
      </c>
      <c r="H128" s="9" t="s">
        <v>82</v>
      </c>
      <c r="I128" s="9" t="s">
        <v>83</v>
      </c>
      <c r="J128" s="9" t="s">
        <v>1116</v>
      </c>
      <c r="K128" s="9"/>
      <c r="L128" s="9"/>
      <c r="M128" s="9"/>
      <c r="N128" s="9"/>
      <c r="O128" s="7" t="s">
        <v>17</v>
      </c>
      <c r="P128" s="8" t="s">
        <v>284</v>
      </c>
      <c r="Q128" s="8"/>
      <c r="R128" s="8"/>
    </row>
    <row r="129" spans="1:18" ht="15" customHeight="1">
      <c r="B129" s="9" t="s">
        <v>385</v>
      </c>
      <c r="C129" s="9" t="s">
        <v>1118</v>
      </c>
      <c r="D129" s="9" t="s">
        <v>1158</v>
      </c>
      <c r="E129" s="15" t="s">
        <v>280</v>
      </c>
      <c r="F129" s="9" t="s">
        <v>281</v>
      </c>
      <c r="G129" s="9" t="s">
        <v>386</v>
      </c>
      <c r="H129" s="9" t="s">
        <v>82</v>
      </c>
      <c r="I129" s="9" t="s">
        <v>83</v>
      </c>
      <c r="J129" s="9" t="s">
        <v>1116</v>
      </c>
      <c r="K129" s="9"/>
      <c r="L129" s="9"/>
      <c r="M129" s="9"/>
      <c r="N129" s="9"/>
      <c r="O129" s="7" t="s">
        <v>17</v>
      </c>
      <c r="P129" s="8" t="s">
        <v>284</v>
      </c>
      <c r="Q129" s="8"/>
      <c r="R129" s="8"/>
    </row>
    <row r="130" spans="1:18" ht="15" customHeight="1">
      <c r="A130" t="s">
        <v>1217</v>
      </c>
      <c r="B130" s="9" t="s">
        <v>387</v>
      </c>
      <c r="C130" s="9" t="s">
        <v>1132</v>
      </c>
      <c r="D130" s="9" t="s">
        <v>1162</v>
      </c>
      <c r="E130" s="15" t="s">
        <v>388</v>
      </c>
      <c r="F130" s="15" t="s">
        <v>389</v>
      </c>
      <c r="G130" s="9" t="s">
        <v>390</v>
      </c>
      <c r="H130" s="9" t="s">
        <v>58</v>
      </c>
      <c r="I130" s="9" t="s">
        <v>32</v>
      </c>
      <c r="J130" s="9" t="s">
        <v>1108</v>
      </c>
      <c r="K130" s="9"/>
      <c r="L130" s="9" t="s">
        <v>1218</v>
      </c>
      <c r="M130" s="9"/>
      <c r="N130" s="9"/>
      <c r="O130" s="7" t="s">
        <v>17</v>
      </c>
      <c r="P130" s="8" t="s">
        <v>392</v>
      </c>
      <c r="Q130" s="8"/>
      <c r="R130" s="8"/>
    </row>
    <row r="131" spans="1:18" ht="15" customHeight="1">
      <c r="B131" s="9" t="s">
        <v>393</v>
      </c>
      <c r="C131" s="9" t="s">
        <v>1118</v>
      </c>
      <c r="D131" s="9" t="s">
        <v>1163</v>
      </c>
      <c r="E131" s="15" t="s">
        <v>388</v>
      </c>
      <c r="F131" s="15" t="s">
        <v>389</v>
      </c>
      <c r="G131" s="9" t="s">
        <v>394</v>
      </c>
      <c r="H131" s="9" t="s">
        <v>58</v>
      </c>
      <c r="I131" s="9" t="s">
        <v>32</v>
      </c>
      <c r="J131" s="9" t="s">
        <v>1108</v>
      </c>
      <c r="K131" s="9"/>
      <c r="L131" s="9" t="s">
        <v>1219</v>
      </c>
      <c r="M131" s="9"/>
      <c r="N131" s="9"/>
      <c r="O131" s="7" t="s">
        <v>17</v>
      </c>
      <c r="P131" s="8" t="s">
        <v>396</v>
      </c>
      <c r="Q131" s="8"/>
      <c r="R131" s="8"/>
    </row>
    <row r="132" spans="1:18" ht="15" customHeight="1">
      <c r="B132" s="9" t="s">
        <v>397</v>
      </c>
      <c r="C132" s="9" t="s">
        <v>1118</v>
      </c>
      <c r="D132" s="9" t="s">
        <v>1163</v>
      </c>
      <c r="E132" s="15" t="s">
        <v>388</v>
      </c>
      <c r="F132" s="15" t="s">
        <v>389</v>
      </c>
      <c r="G132" s="9" t="s">
        <v>398</v>
      </c>
      <c r="H132" s="9" t="s">
        <v>82</v>
      </c>
      <c r="I132" s="9" t="s">
        <v>83</v>
      </c>
      <c r="J132" s="9" t="s">
        <v>1116</v>
      </c>
      <c r="K132" s="9"/>
      <c r="L132" s="9"/>
      <c r="M132" s="9"/>
      <c r="N132" s="9"/>
      <c r="O132" s="7" t="s">
        <v>17</v>
      </c>
      <c r="P132" s="8" t="s">
        <v>260</v>
      </c>
      <c r="Q132" s="8"/>
      <c r="R132" s="8"/>
    </row>
    <row r="133" spans="1:18" ht="15" customHeight="1">
      <c r="B133" s="9" t="s">
        <v>399</v>
      </c>
      <c r="C133" s="9" t="s">
        <v>1118</v>
      </c>
      <c r="D133" s="9" t="s">
        <v>1163</v>
      </c>
      <c r="E133" s="15" t="s">
        <v>388</v>
      </c>
      <c r="F133" s="15" t="s">
        <v>389</v>
      </c>
      <c r="G133" s="9" t="s">
        <v>400</v>
      </c>
      <c r="H133" s="9" t="s">
        <v>82</v>
      </c>
      <c r="I133" s="9" t="s">
        <v>83</v>
      </c>
      <c r="J133" s="9" t="s">
        <v>1116</v>
      </c>
      <c r="K133" s="9"/>
      <c r="L133" s="9"/>
      <c r="M133" s="9"/>
      <c r="N133" s="9"/>
      <c r="O133" s="7" t="s">
        <v>17</v>
      </c>
      <c r="P133" s="8" t="s">
        <v>260</v>
      </c>
      <c r="Q133" s="8"/>
      <c r="R133" s="8"/>
    </row>
    <row r="134" spans="1:18" ht="15" customHeight="1">
      <c r="B134" s="9" t="s">
        <v>401</v>
      </c>
      <c r="C134" s="9" t="s">
        <v>1118</v>
      </c>
      <c r="D134" s="9" t="s">
        <v>1163</v>
      </c>
      <c r="E134" s="15" t="s">
        <v>388</v>
      </c>
      <c r="F134" s="15" t="s">
        <v>389</v>
      </c>
      <c r="G134" s="9" t="s">
        <v>402</v>
      </c>
      <c r="H134" s="9" t="s">
        <v>82</v>
      </c>
      <c r="I134" s="9" t="s">
        <v>83</v>
      </c>
      <c r="J134" s="9" t="s">
        <v>1116</v>
      </c>
      <c r="K134" s="9"/>
      <c r="L134" s="9"/>
      <c r="M134" s="9"/>
      <c r="N134" s="9"/>
      <c r="O134" s="7" t="s">
        <v>17</v>
      </c>
      <c r="P134" s="8" t="s">
        <v>260</v>
      </c>
      <c r="Q134" s="8"/>
      <c r="R134" s="8"/>
    </row>
    <row r="135" spans="1:18" ht="15" customHeight="1">
      <c r="B135" s="9" t="s">
        <v>403</v>
      </c>
      <c r="C135" s="9" t="s">
        <v>1118</v>
      </c>
      <c r="D135" s="9" t="s">
        <v>1163</v>
      </c>
      <c r="E135" s="15" t="s">
        <v>388</v>
      </c>
      <c r="F135" s="15" t="s">
        <v>389</v>
      </c>
      <c r="G135" s="9" t="s">
        <v>404</v>
      </c>
      <c r="H135" s="9" t="s">
        <v>82</v>
      </c>
      <c r="I135" s="9" t="s">
        <v>83</v>
      </c>
      <c r="J135" s="9" t="s">
        <v>1116</v>
      </c>
      <c r="K135" s="9"/>
      <c r="L135" s="9"/>
      <c r="M135" s="9"/>
      <c r="N135" s="9"/>
      <c r="O135" s="7" t="s">
        <v>17</v>
      </c>
      <c r="P135" s="8" t="s">
        <v>260</v>
      </c>
      <c r="Q135" s="8"/>
      <c r="R135" s="8"/>
    </row>
    <row r="136" spans="1:18" ht="15" customHeight="1">
      <c r="B136" s="9" t="s">
        <v>405</v>
      </c>
      <c r="C136" s="9" t="s">
        <v>1118</v>
      </c>
      <c r="D136" s="9" t="s">
        <v>1163</v>
      </c>
      <c r="E136" s="15" t="s">
        <v>388</v>
      </c>
      <c r="F136" s="15" t="s">
        <v>389</v>
      </c>
      <c r="G136" s="9" t="s">
        <v>406</v>
      </c>
      <c r="H136" s="9" t="s">
        <v>58</v>
      </c>
      <c r="I136" s="9" t="s">
        <v>59</v>
      </c>
      <c r="J136" s="9" t="s">
        <v>1108</v>
      </c>
      <c r="K136" s="9"/>
      <c r="L136" s="9"/>
      <c r="M136" s="9"/>
      <c r="N136" s="9"/>
      <c r="O136" s="7" t="s">
        <v>17</v>
      </c>
      <c r="P136" s="8" t="s">
        <v>407</v>
      </c>
      <c r="Q136" s="8"/>
      <c r="R136" s="8"/>
    </row>
    <row r="137" spans="1:18" ht="15" customHeight="1">
      <c r="B137" s="9" t="s">
        <v>408</v>
      </c>
      <c r="C137" s="9" t="s">
        <v>1118</v>
      </c>
      <c r="D137" s="9" t="s">
        <v>1163</v>
      </c>
      <c r="E137" s="15" t="s">
        <v>388</v>
      </c>
      <c r="F137" s="15" t="s">
        <v>389</v>
      </c>
      <c r="G137" s="9" t="s">
        <v>409</v>
      </c>
      <c r="H137" s="9" t="s">
        <v>58</v>
      </c>
      <c r="I137" s="9" t="s">
        <v>59</v>
      </c>
      <c r="J137" s="9" t="s">
        <v>1108</v>
      </c>
      <c r="K137" s="9"/>
      <c r="L137" s="9"/>
      <c r="M137" s="9"/>
      <c r="N137" s="9"/>
      <c r="O137" s="7" t="s">
        <v>17</v>
      </c>
      <c r="P137" s="8" t="s">
        <v>407</v>
      </c>
      <c r="Q137" s="8"/>
      <c r="R137" s="8"/>
    </row>
    <row r="138" spans="1:18" ht="15" customHeight="1">
      <c r="B138" s="9" t="s">
        <v>410</v>
      </c>
      <c r="C138" s="9" t="s">
        <v>1118</v>
      </c>
      <c r="D138" s="9" t="s">
        <v>1163</v>
      </c>
      <c r="E138" s="15" t="s">
        <v>388</v>
      </c>
      <c r="F138" s="15" t="s">
        <v>389</v>
      </c>
      <c r="G138" s="9" t="s">
        <v>411</v>
      </c>
      <c r="H138" s="9" t="s">
        <v>58</v>
      </c>
      <c r="I138" s="9" t="s">
        <v>59</v>
      </c>
      <c r="J138" s="9" t="str">
        <f>$J$137</f>
        <v>Needed</v>
      </c>
      <c r="K138" s="9"/>
      <c r="L138" s="9"/>
      <c r="M138" s="9"/>
      <c r="N138" s="9"/>
      <c r="O138" s="7" t="s">
        <v>17</v>
      </c>
      <c r="P138" s="8" t="s">
        <v>392</v>
      </c>
      <c r="Q138" s="8"/>
      <c r="R138" s="8"/>
    </row>
    <row r="139" spans="1:18" ht="15" customHeight="1">
      <c r="B139" s="9" t="s">
        <v>412</v>
      </c>
      <c r="C139" s="9" t="s">
        <v>1118</v>
      </c>
      <c r="D139" s="9" t="s">
        <v>1163</v>
      </c>
      <c r="E139" s="15" t="s">
        <v>388</v>
      </c>
      <c r="F139" s="15" t="s">
        <v>389</v>
      </c>
      <c r="G139" s="9" t="s">
        <v>413</v>
      </c>
      <c r="H139" s="9" t="s">
        <v>58</v>
      </c>
      <c r="I139" s="9" t="s">
        <v>59</v>
      </c>
      <c r="J139" s="9" t="str">
        <f>$J$137</f>
        <v>Needed</v>
      </c>
      <c r="K139" s="9"/>
      <c r="L139" s="9"/>
      <c r="M139" s="9"/>
      <c r="N139" s="9"/>
      <c r="O139" s="7" t="s">
        <v>17</v>
      </c>
      <c r="P139" s="8" t="s">
        <v>407</v>
      </c>
      <c r="Q139" s="8"/>
      <c r="R139" s="8"/>
    </row>
    <row r="140" spans="1:18" ht="15" customHeight="1">
      <c r="B140" s="9" t="s">
        <v>414</v>
      </c>
      <c r="C140" s="9" t="s">
        <v>1118</v>
      </c>
      <c r="D140" s="9" t="s">
        <v>1163</v>
      </c>
      <c r="E140" s="15" t="s">
        <v>388</v>
      </c>
      <c r="F140" s="15" t="s">
        <v>389</v>
      </c>
      <c r="G140" s="9" t="s">
        <v>415</v>
      </c>
      <c r="H140" s="9" t="s">
        <v>58</v>
      </c>
      <c r="I140" s="9" t="s">
        <v>32</v>
      </c>
      <c r="J140" s="9" t="str">
        <f>$J$137</f>
        <v>Needed</v>
      </c>
      <c r="K140" s="9"/>
      <c r="L140" s="9"/>
      <c r="M140" s="9"/>
      <c r="N140" s="9"/>
      <c r="O140" s="7" t="s">
        <v>17</v>
      </c>
      <c r="P140" s="8" t="s">
        <v>392</v>
      </c>
      <c r="Q140" s="8"/>
      <c r="R140" s="8"/>
    </row>
    <row r="141" spans="1:18" ht="15" customHeight="1">
      <c r="B141" s="9" t="s">
        <v>416</v>
      </c>
      <c r="C141" s="9" t="s">
        <v>1118</v>
      </c>
      <c r="D141" s="9" t="s">
        <v>1158</v>
      </c>
      <c r="E141" s="15" t="s">
        <v>417</v>
      </c>
      <c r="F141" s="15" t="s">
        <v>418</v>
      </c>
      <c r="G141" s="9" t="s">
        <v>1220</v>
      </c>
      <c r="H141" s="9" t="s">
        <v>31</v>
      </c>
      <c r="I141" s="9" t="s">
        <v>32</v>
      </c>
      <c r="J141" s="9" t="s">
        <v>1108</v>
      </c>
      <c r="K141" s="9"/>
      <c r="L141" s="9" t="s">
        <v>1221</v>
      </c>
      <c r="M141" s="9"/>
      <c r="N141" s="9"/>
      <c r="O141" s="7" t="s">
        <v>17</v>
      </c>
      <c r="P141" s="8" t="s">
        <v>300</v>
      </c>
      <c r="Q141" s="8"/>
      <c r="R141" s="8"/>
    </row>
    <row r="142" spans="1:18" ht="15" customHeight="1">
      <c r="B142" s="9" t="s">
        <v>427</v>
      </c>
      <c r="C142" s="9" t="s">
        <v>1118</v>
      </c>
      <c r="D142" s="9" t="s">
        <v>1158</v>
      </c>
      <c r="E142" s="15" t="s">
        <v>417</v>
      </c>
      <c r="F142" s="15" t="s">
        <v>418</v>
      </c>
      <c r="G142" s="9" t="s">
        <v>1222</v>
      </c>
      <c r="H142" s="9" t="s">
        <v>31</v>
      </c>
      <c r="I142" s="9" t="s">
        <v>32</v>
      </c>
      <c r="J142" s="9" t="s">
        <v>1108</v>
      </c>
      <c r="K142" s="9"/>
      <c r="L142" s="9" t="s">
        <v>1223</v>
      </c>
      <c r="M142" s="9"/>
      <c r="N142" s="9"/>
      <c r="O142" s="7" t="s">
        <v>17</v>
      </c>
      <c r="P142" s="8" t="s">
        <v>300</v>
      </c>
      <c r="Q142" s="8"/>
      <c r="R142" s="8"/>
    </row>
    <row r="143" spans="1:18" ht="15" customHeight="1">
      <c r="B143" s="9" t="s">
        <v>436</v>
      </c>
      <c r="C143" s="9" t="s">
        <v>1118</v>
      </c>
      <c r="D143" s="9" t="s">
        <v>1224</v>
      </c>
      <c r="E143" s="15" t="s">
        <v>417</v>
      </c>
      <c r="F143" s="15" t="s">
        <v>418</v>
      </c>
      <c r="G143" s="9" t="s">
        <v>1225</v>
      </c>
      <c r="H143" s="9" t="s">
        <v>58</v>
      </c>
      <c r="I143" s="9" t="s">
        <v>32</v>
      </c>
      <c r="J143" s="9" t="s">
        <v>1108</v>
      </c>
      <c r="K143" s="9"/>
      <c r="L143" s="9"/>
      <c r="M143" s="9"/>
      <c r="N143" s="9"/>
      <c r="O143" s="7" t="s">
        <v>17</v>
      </c>
      <c r="P143" s="8" t="s">
        <v>438</v>
      </c>
      <c r="Q143" s="8"/>
      <c r="R143" s="8"/>
    </row>
    <row r="144" spans="1:18" ht="15" customHeight="1">
      <c r="B144" s="9" t="s">
        <v>439</v>
      </c>
      <c r="C144" s="9" t="s">
        <v>1136</v>
      </c>
      <c r="D144" s="9" t="s">
        <v>1137</v>
      </c>
      <c r="E144" s="15" t="s">
        <v>440</v>
      </c>
      <c r="F144" s="15" t="s">
        <v>441</v>
      </c>
      <c r="G144" s="9" t="s">
        <v>442</v>
      </c>
      <c r="H144" s="9" t="s">
        <v>58</v>
      </c>
      <c r="I144" s="9" t="s">
        <v>201</v>
      </c>
      <c r="J144" s="9"/>
      <c r="K144" s="9"/>
      <c r="L144" s="9"/>
      <c r="M144" s="9"/>
      <c r="N144" s="9"/>
      <c r="O144" s="7" t="s">
        <v>17</v>
      </c>
      <c r="P144" s="8" t="s">
        <v>443</v>
      </c>
      <c r="Q144" s="8"/>
      <c r="R144" s="8"/>
    </row>
    <row r="145" spans="2:18" ht="15" customHeight="1">
      <c r="B145" s="9" t="s">
        <v>444</v>
      </c>
      <c r="C145" s="9" t="s">
        <v>1136</v>
      </c>
      <c r="D145" s="9" t="s">
        <v>1137</v>
      </c>
      <c r="E145" s="15" t="s">
        <v>440</v>
      </c>
      <c r="F145" s="15" t="s">
        <v>441</v>
      </c>
      <c r="G145" s="9" t="s">
        <v>445</v>
      </c>
      <c r="H145" s="9" t="s">
        <v>31</v>
      </c>
      <c r="I145" s="9" t="s">
        <v>32</v>
      </c>
      <c r="J145" s="9" t="s">
        <v>1108</v>
      </c>
      <c r="K145" s="9"/>
      <c r="L145" s="9" t="s">
        <v>1226</v>
      </c>
      <c r="M145" s="9"/>
      <c r="N145" s="9"/>
      <c r="O145" s="7" t="s">
        <v>17</v>
      </c>
      <c r="P145" s="8" t="s">
        <v>28</v>
      </c>
      <c r="Q145" s="8"/>
      <c r="R145" s="8"/>
    </row>
    <row r="146" spans="2:18" ht="15" customHeight="1">
      <c r="B146" s="9" t="s">
        <v>447</v>
      </c>
      <c r="C146" s="9" t="s">
        <v>1136</v>
      </c>
      <c r="D146" s="9" t="s">
        <v>1137</v>
      </c>
      <c r="E146" s="15" t="s">
        <v>440</v>
      </c>
      <c r="F146" s="15" t="s">
        <v>441</v>
      </c>
      <c r="G146" s="9" t="s">
        <v>448</v>
      </c>
      <c r="H146" s="9" t="s">
        <v>58</v>
      </c>
      <c r="I146" s="9" t="s">
        <v>59</v>
      </c>
      <c r="J146" s="9" t="s">
        <v>1108</v>
      </c>
      <c r="K146" s="9"/>
      <c r="L146" s="9"/>
      <c r="M146" s="9"/>
      <c r="N146" s="9"/>
      <c r="O146" s="7" t="s">
        <v>17</v>
      </c>
      <c r="P146" s="8" t="s">
        <v>449</v>
      </c>
      <c r="Q146" s="8"/>
      <c r="R146" s="8"/>
    </row>
    <row r="147" spans="2:18" ht="15" customHeight="1">
      <c r="B147" s="9" t="s">
        <v>450</v>
      </c>
      <c r="C147" s="9" t="s">
        <v>1136</v>
      </c>
      <c r="D147" s="9" t="s">
        <v>1137</v>
      </c>
      <c r="E147" s="15" t="s">
        <v>440</v>
      </c>
      <c r="F147" s="15" t="s">
        <v>441</v>
      </c>
      <c r="G147" s="9" t="s">
        <v>451</v>
      </c>
      <c r="H147" s="9" t="s">
        <v>58</v>
      </c>
      <c r="I147" s="9" t="s">
        <v>59</v>
      </c>
      <c r="J147" s="9" t="s">
        <v>1108</v>
      </c>
      <c r="K147" s="9"/>
      <c r="L147" s="9"/>
      <c r="M147" s="9"/>
      <c r="N147" s="9"/>
      <c r="O147" s="7" t="s">
        <v>17</v>
      </c>
      <c r="P147" s="8" t="s">
        <v>407</v>
      </c>
      <c r="Q147" s="8"/>
      <c r="R147" s="8"/>
    </row>
    <row r="148" spans="2:18" ht="15" customHeight="1">
      <c r="B148" s="9" t="s">
        <v>452</v>
      </c>
      <c r="C148" s="9" t="s">
        <v>1118</v>
      </c>
      <c r="D148" s="9" t="s">
        <v>1151</v>
      </c>
      <c r="E148" s="15" t="s">
        <v>440</v>
      </c>
      <c r="F148" s="15" t="s">
        <v>441</v>
      </c>
      <c r="G148" s="9" t="s">
        <v>453</v>
      </c>
      <c r="H148" s="9" t="s">
        <v>82</v>
      </c>
      <c r="I148" s="9" t="s">
        <v>83</v>
      </c>
      <c r="J148" s="9" t="s">
        <v>1116</v>
      </c>
      <c r="K148" s="9"/>
      <c r="L148" s="9"/>
      <c r="M148" s="9"/>
      <c r="N148" s="9"/>
      <c r="O148" s="7" t="s">
        <v>17</v>
      </c>
      <c r="P148" s="8" t="s">
        <v>214</v>
      </c>
      <c r="Q148" s="8"/>
      <c r="R148" s="8"/>
    </row>
    <row r="149" spans="2:18" ht="15" customHeight="1">
      <c r="B149" s="9" t="s">
        <v>454</v>
      </c>
      <c r="C149" s="9" t="s">
        <v>1118</v>
      </c>
      <c r="D149" s="9" t="s">
        <v>1119</v>
      </c>
      <c r="E149" s="15" t="s">
        <v>440</v>
      </c>
      <c r="F149" s="15" t="s">
        <v>441</v>
      </c>
      <c r="G149" s="9" t="s">
        <v>455</v>
      </c>
      <c r="H149" s="9" t="s">
        <v>58</v>
      </c>
      <c r="I149" s="9" t="s">
        <v>32</v>
      </c>
      <c r="J149" s="9" t="s">
        <v>1116</v>
      </c>
      <c r="K149" s="9"/>
      <c r="L149" s="9"/>
      <c r="M149" s="9"/>
      <c r="N149" s="9"/>
      <c r="O149" s="7" t="s">
        <v>17</v>
      </c>
      <c r="P149" s="8" t="s">
        <v>214</v>
      </c>
      <c r="Q149" s="8"/>
      <c r="R149" s="8"/>
    </row>
    <row r="150" spans="2:18" ht="15" customHeight="1">
      <c r="B150" s="9" t="s">
        <v>456</v>
      </c>
      <c r="C150" s="9" t="s">
        <v>1136</v>
      </c>
      <c r="D150" s="9" t="s">
        <v>1227</v>
      </c>
      <c r="E150" s="15" t="s">
        <v>440</v>
      </c>
      <c r="F150" s="15" t="s">
        <v>441</v>
      </c>
      <c r="G150" s="9" t="s">
        <v>457</v>
      </c>
      <c r="H150" s="9" t="s">
        <v>82</v>
      </c>
      <c r="I150" s="9" t="s">
        <v>83</v>
      </c>
      <c r="J150" s="9" t="s">
        <v>1116</v>
      </c>
      <c r="K150" s="9"/>
      <c r="L150" s="9"/>
      <c r="M150" s="9"/>
      <c r="N150" s="9"/>
      <c r="O150" s="7" t="s">
        <v>17</v>
      </c>
      <c r="P150" s="8" t="s">
        <v>458</v>
      </c>
      <c r="Q150" s="8"/>
      <c r="R150" s="8"/>
    </row>
    <row r="151" spans="2:18" ht="15" customHeight="1">
      <c r="B151" s="9" t="s">
        <v>459</v>
      </c>
      <c r="C151" s="9" t="s">
        <v>1136</v>
      </c>
      <c r="D151" s="9" t="s">
        <v>1227</v>
      </c>
      <c r="E151" s="15" t="s">
        <v>440</v>
      </c>
      <c r="F151" s="15" t="s">
        <v>441</v>
      </c>
      <c r="G151" s="9" t="s">
        <v>460</v>
      </c>
      <c r="H151" s="9" t="s">
        <v>82</v>
      </c>
      <c r="I151" s="9" t="s">
        <v>83</v>
      </c>
      <c r="J151" s="9" t="s">
        <v>1116</v>
      </c>
      <c r="K151" s="9"/>
      <c r="L151" s="9"/>
      <c r="M151" s="9"/>
      <c r="N151" s="9"/>
      <c r="O151" s="7" t="s">
        <v>17</v>
      </c>
      <c r="P151" s="8" t="s">
        <v>458</v>
      </c>
      <c r="Q151" s="8"/>
      <c r="R151" s="8"/>
    </row>
    <row r="152" spans="2:18" ht="15" customHeight="1">
      <c r="B152" s="9" t="s">
        <v>461</v>
      </c>
      <c r="C152" s="9" t="s">
        <v>1136</v>
      </c>
      <c r="D152" s="9" t="s">
        <v>1227</v>
      </c>
      <c r="E152" s="15" t="s">
        <v>440</v>
      </c>
      <c r="F152" s="15" t="s">
        <v>441</v>
      </c>
      <c r="G152" s="9" t="s">
        <v>462</v>
      </c>
      <c r="H152" s="9" t="s">
        <v>82</v>
      </c>
      <c r="I152" s="9" t="s">
        <v>83</v>
      </c>
      <c r="J152" s="9" t="s">
        <v>1116</v>
      </c>
      <c r="K152" s="9"/>
      <c r="L152" s="9"/>
      <c r="M152" s="9"/>
      <c r="N152" s="9"/>
      <c r="O152" s="7" t="s">
        <v>17</v>
      </c>
      <c r="P152" s="8" t="s">
        <v>458</v>
      </c>
      <c r="Q152" s="8"/>
      <c r="R152" s="8"/>
    </row>
    <row r="153" spans="2:18" ht="15" customHeight="1">
      <c r="B153" s="9" t="s">
        <v>463</v>
      </c>
      <c r="C153" s="9" t="s">
        <v>1136</v>
      </c>
      <c r="D153" s="9" t="s">
        <v>1227</v>
      </c>
      <c r="E153" s="15" t="s">
        <v>440</v>
      </c>
      <c r="F153" s="15" t="s">
        <v>441</v>
      </c>
      <c r="G153" s="9" t="s">
        <v>464</v>
      </c>
      <c r="H153" s="9" t="s">
        <v>82</v>
      </c>
      <c r="I153" s="9" t="s">
        <v>83</v>
      </c>
      <c r="J153" s="9" t="s">
        <v>1116</v>
      </c>
      <c r="K153" s="9"/>
      <c r="L153" s="9"/>
      <c r="M153" s="9"/>
      <c r="N153" s="9"/>
      <c r="O153" s="7" t="s">
        <v>17</v>
      </c>
      <c r="P153" s="8" t="s">
        <v>458</v>
      </c>
      <c r="Q153" s="8"/>
      <c r="R153" s="8"/>
    </row>
    <row r="154" spans="2:18" ht="15" customHeight="1">
      <c r="B154" s="9" t="s">
        <v>465</v>
      </c>
      <c r="C154" s="9" t="s">
        <v>1136</v>
      </c>
      <c r="D154" s="9" t="s">
        <v>1137</v>
      </c>
      <c r="E154" s="15" t="s">
        <v>466</v>
      </c>
      <c r="F154" s="15" t="s">
        <v>467</v>
      </c>
      <c r="G154" s="9" t="s">
        <v>468</v>
      </c>
      <c r="H154" s="9" t="s">
        <v>58</v>
      </c>
      <c r="I154" s="9" t="s">
        <v>201</v>
      </c>
      <c r="J154" s="9"/>
      <c r="K154" s="9"/>
      <c r="L154" s="9"/>
      <c r="M154" s="9"/>
      <c r="N154" s="9"/>
      <c r="O154" s="7" t="s">
        <v>17</v>
      </c>
      <c r="P154" s="8" t="s">
        <v>443</v>
      </c>
      <c r="Q154" s="8"/>
      <c r="R154" s="8"/>
    </row>
    <row r="155" spans="2:18" ht="15" customHeight="1">
      <c r="B155" s="9" t="s">
        <v>469</v>
      </c>
      <c r="C155" s="9" t="s">
        <v>1136</v>
      </c>
      <c r="D155" s="9" t="s">
        <v>1137</v>
      </c>
      <c r="E155" s="15" t="s">
        <v>466</v>
      </c>
      <c r="F155" s="15" t="s">
        <v>467</v>
      </c>
      <c r="G155" s="9" t="s">
        <v>1228</v>
      </c>
      <c r="H155" s="9" t="s">
        <v>31</v>
      </c>
      <c r="I155" s="9" t="s">
        <v>32</v>
      </c>
      <c r="J155" s="9" t="s">
        <v>1108</v>
      </c>
      <c r="K155" s="9"/>
      <c r="L155" s="9" t="s">
        <v>1229</v>
      </c>
      <c r="M155" s="9"/>
      <c r="N155" s="9"/>
      <c r="O155" s="7" t="s">
        <v>17</v>
      </c>
      <c r="P155" s="8" t="s">
        <v>28</v>
      </c>
      <c r="Q155" s="8"/>
      <c r="R155" s="8"/>
    </row>
    <row r="156" spans="2:18" ht="15" customHeight="1">
      <c r="B156" s="9" t="s">
        <v>472</v>
      </c>
      <c r="C156" s="9" t="s">
        <v>1136</v>
      </c>
      <c r="D156" s="9" t="s">
        <v>1137</v>
      </c>
      <c r="E156" s="15" t="s">
        <v>466</v>
      </c>
      <c r="F156" s="15" t="s">
        <v>467</v>
      </c>
      <c r="G156" s="9" t="s">
        <v>1230</v>
      </c>
      <c r="H156" s="9" t="s">
        <v>31</v>
      </c>
      <c r="I156" s="9" t="s">
        <v>32</v>
      </c>
      <c r="J156" s="9" t="s">
        <v>1108</v>
      </c>
      <c r="K156" s="9"/>
      <c r="L156" s="9" t="s">
        <v>1231</v>
      </c>
      <c r="M156" s="9"/>
      <c r="N156" s="9"/>
      <c r="O156" s="7" t="s">
        <v>17</v>
      </c>
      <c r="P156" s="8" t="s">
        <v>28</v>
      </c>
      <c r="Q156" s="8"/>
      <c r="R156" s="8"/>
    </row>
    <row r="157" spans="2:18" ht="15" customHeight="1">
      <c r="B157" s="9" t="s">
        <v>472</v>
      </c>
      <c r="C157" s="9" t="s">
        <v>1136</v>
      </c>
      <c r="D157" s="9" t="s">
        <v>1137</v>
      </c>
      <c r="E157" s="15" t="s">
        <v>466</v>
      </c>
      <c r="F157" s="15" t="s">
        <v>467</v>
      </c>
      <c r="G157" s="9" t="s">
        <v>1232</v>
      </c>
      <c r="H157" s="9" t="s">
        <v>31</v>
      </c>
      <c r="I157" s="9" t="s">
        <v>32</v>
      </c>
      <c r="J157" s="9" t="s">
        <v>1108</v>
      </c>
      <c r="K157" s="9"/>
      <c r="L157" s="9" t="s">
        <v>1233</v>
      </c>
      <c r="M157" s="9"/>
      <c r="N157" s="9"/>
      <c r="O157" s="7" t="s">
        <v>17</v>
      </c>
      <c r="P157" s="8" t="s">
        <v>28</v>
      </c>
      <c r="Q157" s="8"/>
      <c r="R157" s="8"/>
    </row>
    <row r="158" spans="2:18" ht="15" customHeight="1">
      <c r="B158" s="9" t="s">
        <v>1234</v>
      </c>
      <c r="C158" s="9" t="s">
        <v>1136</v>
      </c>
      <c r="D158" s="9" t="s">
        <v>1137</v>
      </c>
      <c r="E158" s="15" t="s">
        <v>466</v>
      </c>
      <c r="F158" s="15" t="s">
        <v>467</v>
      </c>
      <c r="G158" s="9" t="s">
        <v>1235</v>
      </c>
      <c r="H158" s="9" t="s">
        <v>31</v>
      </c>
      <c r="I158" s="9" t="s">
        <v>32</v>
      </c>
      <c r="J158" s="9" t="s">
        <v>1108</v>
      </c>
      <c r="K158" s="9"/>
      <c r="L158" s="9" t="s">
        <v>1236</v>
      </c>
      <c r="M158" s="9"/>
      <c r="N158" s="9"/>
      <c r="O158" s="7" t="s">
        <v>17</v>
      </c>
      <c r="P158" s="8" t="s">
        <v>28</v>
      </c>
      <c r="Q158" s="8"/>
      <c r="R158" s="8"/>
    </row>
    <row r="159" spans="2:18" ht="15" customHeight="1">
      <c r="B159" s="9" t="s">
        <v>475</v>
      </c>
      <c r="C159" s="9" t="s">
        <v>1136</v>
      </c>
      <c r="D159" s="9" t="s">
        <v>1137</v>
      </c>
      <c r="E159" s="15" t="s">
        <v>466</v>
      </c>
      <c r="F159" s="15" t="s">
        <v>467</v>
      </c>
      <c r="G159" s="9" t="s">
        <v>476</v>
      </c>
      <c r="H159" s="9" t="s">
        <v>58</v>
      </c>
      <c r="I159" s="9" t="s">
        <v>59</v>
      </c>
      <c r="J159" s="9" t="s">
        <v>1108</v>
      </c>
      <c r="K159" s="9"/>
      <c r="L159" s="9"/>
      <c r="M159" s="9"/>
      <c r="N159" s="9"/>
      <c r="O159" s="7" t="s">
        <v>17</v>
      </c>
      <c r="P159" s="8" t="s">
        <v>449</v>
      </c>
      <c r="Q159" s="8"/>
      <c r="R159" s="8"/>
    </row>
    <row r="160" spans="2:18" ht="15" customHeight="1">
      <c r="B160" s="9" t="s">
        <v>477</v>
      </c>
      <c r="C160" s="9" t="s">
        <v>1136</v>
      </c>
      <c r="D160" s="9" t="s">
        <v>1227</v>
      </c>
      <c r="E160" s="15" t="s">
        <v>466</v>
      </c>
      <c r="F160" s="15" t="s">
        <v>467</v>
      </c>
      <c r="G160" s="9" t="s">
        <v>478</v>
      </c>
      <c r="H160" s="9" t="s">
        <v>82</v>
      </c>
      <c r="I160" s="9" t="s">
        <v>59</v>
      </c>
      <c r="J160" s="9" t="s">
        <v>1116</v>
      </c>
      <c r="K160" s="9"/>
      <c r="L160" s="9"/>
      <c r="M160" s="9"/>
      <c r="N160" s="9"/>
      <c r="O160" s="7" t="s">
        <v>17</v>
      </c>
      <c r="P160" s="8" t="s">
        <v>479</v>
      </c>
      <c r="Q160" s="8"/>
      <c r="R160" s="8"/>
    </row>
    <row r="161" spans="2:18" ht="15" customHeight="1">
      <c r="B161" s="9" t="s">
        <v>480</v>
      </c>
      <c r="C161" s="9" t="s">
        <v>1136</v>
      </c>
      <c r="D161" s="9" t="s">
        <v>1137</v>
      </c>
      <c r="E161" s="15" t="s">
        <v>466</v>
      </c>
      <c r="F161" s="15" t="s">
        <v>467</v>
      </c>
      <c r="G161" s="9" t="s">
        <v>481</v>
      </c>
      <c r="H161" s="9" t="s">
        <v>58</v>
      </c>
      <c r="I161" s="9" t="s">
        <v>59</v>
      </c>
      <c r="J161" s="9" t="s">
        <v>1108</v>
      </c>
      <c r="K161" s="9"/>
      <c r="L161" s="9"/>
      <c r="M161" s="9"/>
      <c r="N161" s="9"/>
      <c r="O161" s="7" t="s">
        <v>17</v>
      </c>
      <c r="P161" s="8" t="s">
        <v>407</v>
      </c>
      <c r="Q161" s="8"/>
      <c r="R161" s="8"/>
    </row>
    <row r="162" spans="2:18" ht="15" customHeight="1">
      <c r="B162" s="9" t="s">
        <v>482</v>
      </c>
      <c r="C162" s="9" t="s">
        <v>1118</v>
      </c>
      <c r="D162" s="9" t="s">
        <v>1151</v>
      </c>
      <c r="E162" s="15" t="s">
        <v>466</v>
      </c>
      <c r="F162" s="15" t="s">
        <v>467</v>
      </c>
      <c r="G162" s="9" t="s">
        <v>483</v>
      </c>
      <c r="H162" s="9" t="s">
        <v>82</v>
      </c>
      <c r="I162" s="9" t="s">
        <v>83</v>
      </c>
      <c r="J162" s="9" t="s">
        <v>1116</v>
      </c>
      <c r="K162" s="9"/>
      <c r="L162" s="9"/>
      <c r="M162" s="9"/>
      <c r="N162" s="9"/>
      <c r="O162" s="7" t="s">
        <v>17</v>
      </c>
      <c r="P162" s="8" t="s">
        <v>214</v>
      </c>
      <c r="Q162" s="8"/>
      <c r="R162" s="8"/>
    </row>
    <row r="163" spans="2:18" ht="15" customHeight="1">
      <c r="B163" s="9" t="s">
        <v>484</v>
      </c>
      <c r="C163" s="9" t="s">
        <v>1118</v>
      </c>
      <c r="D163" s="9" t="s">
        <v>1119</v>
      </c>
      <c r="E163" s="15" t="s">
        <v>466</v>
      </c>
      <c r="F163" s="15" t="s">
        <v>467</v>
      </c>
      <c r="G163" s="9" t="s">
        <v>485</v>
      </c>
      <c r="H163" s="9" t="s">
        <v>58</v>
      </c>
      <c r="I163" s="9" t="s">
        <v>32</v>
      </c>
      <c r="J163" s="9" t="s">
        <v>1116</v>
      </c>
      <c r="K163" s="9"/>
      <c r="L163" s="9"/>
      <c r="M163" s="9"/>
      <c r="N163" s="9"/>
      <c r="O163" s="7" t="s">
        <v>17</v>
      </c>
      <c r="P163" s="8" t="s">
        <v>214</v>
      </c>
      <c r="Q163" s="8"/>
      <c r="R163" s="8"/>
    </row>
    <row r="164" spans="2:18" ht="15" customHeight="1">
      <c r="B164" s="9" t="s">
        <v>1237</v>
      </c>
      <c r="C164" s="9" t="s">
        <v>1136</v>
      </c>
      <c r="D164" s="9" t="s">
        <v>1137</v>
      </c>
      <c r="E164" s="15" t="s">
        <v>466</v>
      </c>
      <c r="F164" s="15" t="s">
        <v>467</v>
      </c>
      <c r="G164" s="9" t="s">
        <v>1238</v>
      </c>
      <c r="H164" s="9" t="s">
        <v>58</v>
      </c>
      <c r="I164" s="9" t="s">
        <v>59</v>
      </c>
      <c r="J164" s="9" t="s">
        <v>1108</v>
      </c>
      <c r="K164" s="9"/>
      <c r="L164" s="9"/>
      <c r="M164" s="9"/>
      <c r="N164" s="9"/>
      <c r="O164" s="7" t="s">
        <v>17</v>
      </c>
      <c r="P164" s="8" t="s">
        <v>498</v>
      </c>
      <c r="Q164" s="8"/>
      <c r="R164" s="8"/>
    </row>
    <row r="165" spans="2:18" ht="15" customHeight="1">
      <c r="B165" s="9" t="s">
        <v>1239</v>
      </c>
      <c r="C165" s="9" t="s">
        <v>1136</v>
      </c>
      <c r="D165" s="9" t="s">
        <v>1137</v>
      </c>
      <c r="E165" s="15" t="s">
        <v>466</v>
      </c>
      <c r="F165" s="15" t="s">
        <v>467</v>
      </c>
      <c r="G165" s="9" t="s">
        <v>1240</v>
      </c>
      <c r="H165" s="9" t="s">
        <v>58</v>
      </c>
      <c r="I165" s="9" t="s">
        <v>59</v>
      </c>
      <c r="J165" s="9" t="s">
        <v>1108</v>
      </c>
      <c r="K165" s="9"/>
      <c r="L165" s="9"/>
      <c r="M165" s="9"/>
      <c r="N165" s="9"/>
      <c r="O165" s="7" t="s">
        <v>17</v>
      </c>
      <c r="P165" s="8" t="s">
        <v>407</v>
      </c>
      <c r="Q165" s="8"/>
      <c r="R165" s="8"/>
    </row>
    <row r="166" spans="2:18" ht="15" customHeight="1">
      <c r="B166" s="9" t="s">
        <v>1241</v>
      </c>
      <c r="C166" s="9" t="s">
        <v>1136</v>
      </c>
      <c r="D166" s="9" t="s">
        <v>1137</v>
      </c>
      <c r="E166" s="15" t="s">
        <v>466</v>
      </c>
      <c r="F166" s="15" t="s">
        <v>467</v>
      </c>
      <c r="G166" s="9" t="s">
        <v>1242</v>
      </c>
      <c r="H166" s="9" t="s">
        <v>58</v>
      </c>
      <c r="I166" s="9" t="s">
        <v>59</v>
      </c>
      <c r="J166" s="9" t="s">
        <v>1108</v>
      </c>
      <c r="K166" s="9"/>
      <c r="L166" s="9"/>
      <c r="M166" s="9"/>
      <c r="N166" s="9"/>
      <c r="O166" s="7" t="s">
        <v>17</v>
      </c>
      <c r="P166" s="8" t="s">
        <v>407</v>
      </c>
      <c r="Q166" s="8"/>
      <c r="R166" s="8"/>
    </row>
    <row r="167" spans="2:18" ht="15" customHeight="1">
      <c r="B167" s="9" t="s">
        <v>486</v>
      </c>
      <c r="C167" s="9" t="s">
        <v>1136</v>
      </c>
      <c r="D167" s="9" t="s">
        <v>1137</v>
      </c>
      <c r="E167" s="15" t="s">
        <v>487</v>
      </c>
      <c r="F167" s="15" t="s">
        <v>488</v>
      </c>
      <c r="G167" s="9" t="s">
        <v>489</v>
      </c>
      <c r="H167" s="9" t="s">
        <v>58</v>
      </c>
      <c r="I167" s="9" t="s">
        <v>201</v>
      </c>
      <c r="J167" s="9"/>
      <c r="K167" s="9"/>
      <c r="L167" s="9"/>
      <c r="M167" s="9"/>
      <c r="N167" s="9"/>
      <c r="O167" s="7" t="s">
        <v>17</v>
      </c>
      <c r="P167" s="8" t="s">
        <v>443</v>
      </c>
      <c r="Q167" s="8"/>
      <c r="R167" s="8"/>
    </row>
    <row r="168" spans="2:18" ht="15" customHeight="1">
      <c r="B168" s="9" t="s">
        <v>490</v>
      </c>
      <c r="C168" s="9" t="s">
        <v>1136</v>
      </c>
      <c r="D168" s="9" t="s">
        <v>1137</v>
      </c>
      <c r="E168" s="15" t="s">
        <v>487</v>
      </c>
      <c r="F168" s="15" t="s">
        <v>488</v>
      </c>
      <c r="G168" s="9" t="s">
        <v>1243</v>
      </c>
      <c r="H168" s="9" t="s">
        <v>31</v>
      </c>
      <c r="I168" s="9" t="s">
        <v>32</v>
      </c>
      <c r="J168" s="9" t="s">
        <v>1108</v>
      </c>
      <c r="K168" s="9"/>
      <c r="L168" s="9" t="s">
        <v>1244</v>
      </c>
      <c r="M168" s="9"/>
      <c r="N168" s="9"/>
      <c r="O168" s="7" t="s">
        <v>17</v>
      </c>
      <c r="P168" s="8" t="s">
        <v>28</v>
      </c>
      <c r="Q168" s="8"/>
      <c r="R168" s="8"/>
    </row>
    <row r="169" spans="2:18" ht="15" customHeight="1">
      <c r="B169" s="9" t="s">
        <v>493</v>
      </c>
      <c r="C169" s="9" t="s">
        <v>1136</v>
      </c>
      <c r="D169" s="9" t="s">
        <v>1227</v>
      </c>
      <c r="E169" s="15" t="s">
        <v>487</v>
      </c>
      <c r="F169" s="15" t="s">
        <v>488</v>
      </c>
      <c r="G169" s="9" t="s">
        <v>494</v>
      </c>
      <c r="H169" s="9" t="s">
        <v>82</v>
      </c>
      <c r="I169" s="9" t="s">
        <v>59</v>
      </c>
      <c r="J169" s="9" t="s">
        <v>1116</v>
      </c>
      <c r="K169" s="9"/>
      <c r="L169" s="9"/>
      <c r="M169" s="9"/>
      <c r="N169" s="9"/>
      <c r="O169" s="7" t="s">
        <v>17</v>
      </c>
      <c r="P169" s="8" t="s">
        <v>495</v>
      </c>
      <c r="Q169" s="8"/>
      <c r="R169" s="8"/>
    </row>
    <row r="170" spans="2:18" ht="15" customHeight="1">
      <c r="B170" s="9" t="s">
        <v>496</v>
      </c>
      <c r="C170" s="9" t="s">
        <v>1136</v>
      </c>
      <c r="D170" s="9" t="s">
        <v>1137</v>
      </c>
      <c r="E170" s="15" t="s">
        <v>487</v>
      </c>
      <c r="F170" s="15" t="s">
        <v>488</v>
      </c>
      <c r="G170" s="9" t="s">
        <v>497</v>
      </c>
      <c r="H170" s="9" t="s">
        <v>58</v>
      </c>
      <c r="I170" s="9" t="s">
        <v>59</v>
      </c>
      <c r="J170" s="9" t="s">
        <v>1108</v>
      </c>
      <c r="K170" s="9"/>
      <c r="L170" s="9"/>
      <c r="M170" s="9"/>
      <c r="N170" s="9"/>
      <c r="O170" s="7" t="s">
        <v>17</v>
      </c>
      <c r="P170" s="8" t="s">
        <v>498</v>
      </c>
      <c r="Q170" s="8"/>
      <c r="R170" s="8"/>
    </row>
    <row r="171" spans="2:18" ht="15" customHeight="1">
      <c r="B171" s="9" t="s">
        <v>499</v>
      </c>
      <c r="C171" s="9" t="s">
        <v>1136</v>
      </c>
      <c r="D171" s="9" t="s">
        <v>1137</v>
      </c>
      <c r="E171" s="15" t="s">
        <v>487</v>
      </c>
      <c r="F171" s="15" t="s">
        <v>488</v>
      </c>
      <c r="G171" s="9" t="s">
        <v>500</v>
      </c>
      <c r="H171" s="9" t="s">
        <v>58</v>
      </c>
      <c r="I171" s="9" t="s">
        <v>32</v>
      </c>
      <c r="J171" s="9"/>
      <c r="K171" s="9"/>
      <c r="L171" s="9"/>
      <c r="M171" s="9"/>
      <c r="N171" s="9"/>
      <c r="O171" s="12" t="s">
        <v>277</v>
      </c>
      <c r="P171" s="8" t="s">
        <v>501</v>
      </c>
      <c r="Q171" s="8"/>
      <c r="R171" s="8"/>
    </row>
    <row r="172" spans="2:18" ht="15" customHeight="1">
      <c r="B172" s="9" t="s">
        <v>502</v>
      </c>
      <c r="C172" s="9" t="s">
        <v>1136</v>
      </c>
      <c r="D172" s="9" t="s">
        <v>1137</v>
      </c>
      <c r="E172" s="15" t="s">
        <v>487</v>
      </c>
      <c r="F172" s="15" t="s">
        <v>488</v>
      </c>
      <c r="G172" s="9" t="s">
        <v>503</v>
      </c>
      <c r="H172" s="9" t="s">
        <v>82</v>
      </c>
      <c r="I172" s="9" t="s">
        <v>32</v>
      </c>
      <c r="J172" s="9" t="s">
        <v>1116</v>
      </c>
      <c r="K172" s="9"/>
      <c r="L172" s="9"/>
      <c r="M172" s="9"/>
      <c r="N172" s="9"/>
      <c r="O172" s="7" t="s">
        <v>17</v>
      </c>
      <c r="P172" s="8" t="s">
        <v>504</v>
      </c>
      <c r="Q172" s="8"/>
      <c r="R172" s="8"/>
    </row>
    <row r="173" spans="2:18" ht="15" customHeight="1">
      <c r="B173" s="9" t="s">
        <v>1245</v>
      </c>
      <c r="C173" s="9" t="s">
        <v>1136</v>
      </c>
      <c r="D173" s="9" t="s">
        <v>1137</v>
      </c>
      <c r="E173" s="15" t="s">
        <v>487</v>
      </c>
      <c r="F173" s="15" t="s">
        <v>488</v>
      </c>
      <c r="G173" s="9" t="s">
        <v>1246</v>
      </c>
      <c r="H173" s="9" t="s">
        <v>58</v>
      </c>
      <c r="I173" s="9" t="s">
        <v>59</v>
      </c>
      <c r="J173" s="9" t="s">
        <v>1108</v>
      </c>
      <c r="K173" s="9"/>
      <c r="L173" s="9"/>
      <c r="M173" s="9"/>
      <c r="N173" s="9"/>
      <c r="O173" s="7" t="s">
        <v>17</v>
      </c>
      <c r="P173" s="8" t="s">
        <v>530</v>
      </c>
      <c r="Q173" s="8"/>
      <c r="R173" s="8"/>
    </row>
    <row r="174" spans="2:18" ht="15" customHeight="1">
      <c r="B174" s="20" t="s">
        <v>505</v>
      </c>
      <c r="C174" s="20" t="s">
        <v>1136</v>
      </c>
      <c r="D174" s="9" t="s">
        <v>1137</v>
      </c>
      <c r="E174" s="15" t="s">
        <v>506</v>
      </c>
      <c r="F174" s="15" t="s">
        <v>507</v>
      </c>
      <c r="G174" s="20" t="s">
        <v>508</v>
      </c>
      <c r="H174" s="9" t="s">
        <v>58</v>
      </c>
      <c r="I174" s="9" t="s">
        <v>201</v>
      </c>
      <c r="J174" s="9"/>
      <c r="K174" s="20"/>
      <c r="L174" s="9"/>
      <c r="M174" s="9"/>
      <c r="N174" s="9"/>
      <c r="O174" s="7" t="s">
        <v>17</v>
      </c>
      <c r="P174" s="8" t="s">
        <v>443</v>
      </c>
      <c r="Q174" s="8"/>
      <c r="R174" s="8"/>
    </row>
    <row r="175" spans="2:18" ht="15" customHeight="1">
      <c r="B175" s="9" t="s">
        <v>509</v>
      </c>
      <c r="C175" s="9" t="s">
        <v>1136</v>
      </c>
      <c r="D175" s="9" t="s">
        <v>1137</v>
      </c>
      <c r="E175" s="15" t="s">
        <v>506</v>
      </c>
      <c r="F175" s="15" t="s">
        <v>507</v>
      </c>
      <c r="G175" s="9" t="s">
        <v>510</v>
      </c>
      <c r="H175" s="9" t="s">
        <v>31</v>
      </c>
      <c r="I175" s="9" t="s">
        <v>32</v>
      </c>
      <c r="J175" s="9" t="s">
        <v>1108</v>
      </c>
      <c r="K175" s="9"/>
      <c r="L175" s="9" t="s">
        <v>511</v>
      </c>
      <c r="M175" s="9"/>
      <c r="N175" s="9"/>
      <c r="O175" s="7" t="s">
        <v>17</v>
      </c>
      <c r="P175" s="8" t="s">
        <v>28</v>
      </c>
      <c r="Q175" s="8"/>
      <c r="R175" s="8"/>
    </row>
    <row r="176" spans="2:18" ht="15" customHeight="1">
      <c r="B176" s="9" t="s">
        <v>1247</v>
      </c>
      <c r="C176" s="9" t="s">
        <v>1136</v>
      </c>
      <c r="D176" s="9" t="s">
        <v>1137</v>
      </c>
      <c r="E176" s="15" t="s">
        <v>506</v>
      </c>
      <c r="F176" s="15" t="s">
        <v>507</v>
      </c>
      <c r="G176" s="9" t="s">
        <v>1248</v>
      </c>
      <c r="H176" s="9" t="s">
        <v>31</v>
      </c>
      <c r="I176" s="9" t="s">
        <v>32</v>
      </c>
      <c r="J176" s="9" t="s">
        <v>1108</v>
      </c>
      <c r="K176" s="9"/>
      <c r="L176" s="9" t="s">
        <v>1249</v>
      </c>
      <c r="M176" s="9"/>
      <c r="N176" s="9"/>
      <c r="O176" s="7" t="s">
        <v>17</v>
      </c>
      <c r="P176" s="8" t="s">
        <v>28</v>
      </c>
      <c r="Q176" s="8"/>
      <c r="R176" s="8"/>
    </row>
    <row r="177" spans="2:18" ht="15" customHeight="1">
      <c r="B177" s="9" t="s">
        <v>512</v>
      </c>
      <c r="C177" s="9" t="s">
        <v>1136</v>
      </c>
      <c r="D177" s="9" t="s">
        <v>1137</v>
      </c>
      <c r="E177" s="15" t="s">
        <v>506</v>
      </c>
      <c r="F177" s="15" t="s">
        <v>507</v>
      </c>
      <c r="G177" s="9" t="s">
        <v>513</v>
      </c>
      <c r="H177" s="9" t="s">
        <v>58</v>
      </c>
      <c r="I177" s="9" t="s">
        <v>59</v>
      </c>
      <c r="J177" s="9" t="s">
        <v>1108</v>
      </c>
      <c r="K177" s="9"/>
      <c r="L177" s="9"/>
      <c r="M177" s="9"/>
      <c r="N177" s="9"/>
      <c r="O177" s="7" t="s">
        <v>17</v>
      </c>
      <c r="P177" s="8" t="s">
        <v>407</v>
      </c>
      <c r="Q177" s="8"/>
      <c r="R177" s="8"/>
    </row>
    <row r="178" spans="2:18" ht="15" customHeight="1">
      <c r="B178" s="9" t="s">
        <v>514</v>
      </c>
      <c r="C178" s="9" t="s">
        <v>1136</v>
      </c>
      <c r="D178" s="9" t="s">
        <v>1227</v>
      </c>
      <c r="E178" s="15" t="s">
        <v>506</v>
      </c>
      <c r="F178" s="15" t="s">
        <v>507</v>
      </c>
      <c r="G178" s="9" t="s">
        <v>515</v>
      </c>
      <c r="H178" s="9" t="s">
        <v>82</v>
      </c>
      <c r="I178" s="9" t="s">
        <v>59</v>
      </c>
      <c r="J178" s="9" t="s">
        <v>1116</v>
      </c>
      <c r="K178" s="9"/>
      <c r="L178" s="9"/>
      <c r="M178" s="9"/>
      <c r="N178" s="9"/>
      <c r="O178" s="7" t="s">
        <v>17</v>
      </c>
      <c r="P178" s="8" t="s">
        <v>516</v>
      </c>
      <c r="Q178" s="8"/>
      <c r="R178" s="8"/>
    </row>
    <row r="179" spans="2:18" ht="15" customHeight="1">
      <c r="B179" s="9" t="s">
        <v>517</v>
      </c>
      <c r="C179" s="9" t="s">
        <v>1136</v>
      </c>
      <c r="D179" s="9" t="s">
        <v>1227</v>
      </c>
      <c r="E179" s="15" t="s">
        <v>506</v>
      </c>
      <c r="F179" s="15" t="s">
        <v>507</v>
      </c>
      <c r="G179" s="9" t="s">
        <v>518</v>
      </c>
      <c r="H179" s="9" t="s">
        <v>82</v>
      </c>
      <c r="I179" s="9" t="s">
        <v>59</v>
      </c>
      <c r="J179" s="9" t="s">
        <v>1116</v>
      </c>
      <c r="K179" s="9"/>
      <c r="L179" s="9"/>
      <c r="M179" s="9"/>
      <c r="N179" s="9"/>
      <c r="O179" s="7" t="s">
        <v>17</v>
      </c>
      <c r="P179" s="8" t="s">
        <v>516</v>
      </c>
      <c r="Q179" s="8"/>
      <c r="R179" s="8"/>
    </row>
    <row r="180" spans="2:18" ht="15" customHeight="1">
      <c r="B180" s="9" t="s">
        <v>519</v>
      </c>
      <c r="C180" s="9" t="s">
        <v>1136</v>
      </c>
      <c r="D180" s="9" t="s">
        <v>1137</v>
      </c>
      <c r="E180" s="15" t="s">
        <v>520</v>
      </c>
      <c r="F180" s="15" t="s">
        <v>521</v>
      </c>
      <c r="G180" s="9" t="s">
        <v>522</v>
      </c>
      <c r="H180" s="9" t="s">
        <v>58</v>
      </c>
      <c r="I180" s="9" t="s">
        <v>201</v>
      </c>
      <c r="J180" s="9"/>
      <c r="K180" s="9"/>
      <c r="L180" s="9"/>
      <c r="M180" s="9"/>
      <c r="N180" s="9"/>
      <c r="O180" s="7" t="s">
        <v>17</v>
      </c>
      <c r="P180" s="8" t="s">
        <v>443</v>
      </c>
      <c r="Q180" s="8"/>
      <c r="R180" s="8"/>
    </row>
    <row r="181" spans="2:18" ht="15" customHeight="1">
      <c r="B181" s="9" t="s">
        <v>523</v>
      </c>
      <c r="C181" s="9" t="s">
        <v>1136</v>
      </c>
      <c r="D181" s="9" t="s">
        <v>1137</v>
      </c>
      <c r="E181" s="15" t="s">
        <v>520</v>
      </c>
      <c r="F181" s="15" t="s">
        <v>521</v>
      </c>
      <c r="G181" s="9" t="s">
        <v>524</v>
      </c>
      <c r="H181" s="9" t="s">
        <v>31</v>
      </c>
      <c r="I181" s="9" t="s">
        <v>32</v>
      </c>
      <c r="J181" s="9" t="s">
        <v>1108</v>
      </c>
      <c r="K181" s="9"/>
      <c r="L181" s="9" t="s">
        <v>1250</v>
      </c>
      <c r="M181" s="9"/>
      <c r="N181" s="9"/>
      <c r="O181" s="7" t="s">
        <v>17</v>
      </c>
      <c r="P181" s="8" t="s">
        <v>28</v>
      </c>
      <c r="Q181" s="8"/>
      <c r="R181" s="8"/>
    </row>
    <row r="182" spans="2:18" ht="15" customHeight="1">
      <c r="B182" s="9" t="s">
        <v>526</v>
      </c>
      <c r="C182" s="9" t="s">
        <v>1136</v>
      </c>
      <c r="D182" s="9" t="s">
        <v>1137</v>
      </c>
      <c r="E182" s="15" t="s">
        <v>520</v>
      </c>
      <c r="F182" s="15" t="s">
        <v>521</v>
      </c>
      <c r="G182" s="9" t="s">
        <v>527</v>
      </c>
      <c r="H182" s="9" t="s">
        <v>58</v>
      </c>
      <c r="I182" s="9" t="s">
        <v>59</v>
      </c>
      <c r="J182" s="9" t="s">
        <v>1108</v>
      </c>
      <c r="K182" s="9"/>
      <c r="L182" s="9"/>
      <c r="M182" s="9"/>
      <c r="N182" s="9"/>
      <c r="O182" s="7" t="s">
        <v>17</v>
      </c>
      <c r="P182" s="8" t="s">
        <v>449</v>
      </c>
      <c r="Q182" s="8"/>
      <c r="R182" s="8"/>
    </row>
    <row r="183" spans="2:18" ht="15" customHeight="1">
      <c r="B183" s="9" t="s">
        <v>528</v>
      </c>
      <c r="C183" s="9" t="s">
        <v>1136</v>
      </c>
      <c r="D183" s="9" t="s">
        <v>1137</v>
      </c>
      <c r="E183" s="15" t="s">
        <v>520</v>
      </c>
      <c r="F183" s="15" t="s">
        <v>521</v>
      </c>
      <c r="G183" s="9" t="s">
        <v>529</v>
      </c>
      <c r="H183" s="9" t="s">
        <v>58</v>
      </c>
      <c r="I183" s="9" t="s">
        <v>59</v>
      </c>
      <c r="J183" s="9" t="s">
        <v>1108</v>
      </c>
      <c r="K183" s="9"/>
      <c r="L183" s="9"/>
      <c r="M183" s="9"/>
      <c r="N183" s="9"/>
      <c r="O183" s="7" t="s">
        <v>17</v>
      </c>
      <c r="P183" s="8" t="s">
        <v>530</v>
      </c>
      <c r="Q183" s="8"/>
      <c r="R183" s="8"/>
    </row>
    <row r="184" spans="2:18" ht="15" customHeight="1">
      <c r="B184" s="9" t="s">
        <v>531</v>
      </c>
      <c r="C184" s="9" t="s">
        <v>1118</v>
      </c>
      <c r="D184" s="9" t="s">
        <v>1151</v>
      </c>
      <c r="E184" s="15" t="s">
        <v>520</v>
      </c>
      <c r="F184" s="15" t="s">
        <v>521</v>
      </c>
      <c r="G184" s="9" t="s">
        <v>532</v>
      </c>
      <c r="H184" s="9" t="s">
        <v>82</v>
      </c>
      <c r="I184" s="9" t="s">
        <v>83</v>
      </c>
      <c r="J184" s="9" t="s">
        <v>1116</v>
      </c>
      <c r="K184" s="9"/>
      <c r="L184" s="9"/>
      <c r="M184" s="9"/>
      <c r="N184" s="9"/>
      <c r="O184" s="7" t="s">
        <v>17</v>
      </c>
      <c r="P184" s="8" t="s">
        <v>214</v>
      </c>
      <c r="Q184" s="8"/>
      <c r="R184" s="8"/>
    </row>
    <row r="185" spans="2:18" ht="15" customHeight="1">
      <c r="B185" s="9" t="s">
        <v>533</v>
      </c>
      <c r="C185" s="9" t="s">
        <v>1136</v>
      </c>
      <c r="D185" s="9" t="s">
        <v>1227</v>
      </c>
      <c r="E185" s="15" t="s">
        <v>520</v>
      </c>
      <c r="F185" s="15" t="s">
        <v>521</v>
      </c>
      <c r="G185" s="9" t="s">
        <v>1251</v>
      </c>
      <c r="H185" s="9" t="s">
        <v>82</v>
      </c>
      <c r="I185" s="9" t="s">
        <v>83</v>
      </c>
      <c r="J185" s="9" t="s">
        <v>1116</v>
      </c>
      <c r="K185" s="9"/>
      <c r="L185" s="9"/>
      <c r="M185" s="9" t="s">
        <v>1252</v>
      </c>
      <c r="N185" s="9"/>
      <c r="O185" s="7" t="s">
        <v>17</v>
      </c>
      <c r="P185" s="8" t="s">
        <v>530</v>
      </c>
      <c r="Q185" s="8"/>
      <c r="R185" s="8"/>
    </row>
    <row r="186" spans="2:18" ht="15" customHeight="1">
      <c r="B186" s="9" t="s">
        <v>535</v>
      </c>
      <c r="C186" s="9" t="s">
        <v>1136</v>
      </c>
      <c r="D186" s="9" t="s">
        <v>1227</v>
      </c>
      <c r="E186" s="15" t="s">
        <v>520</v>
      </c>
      <c r="F186" s="15" t="s">
        <v>521</v>
      </c>
      <c r="G186" s="9" t="s">
        <v>536</v>
      </c>
      <c r="H186" s="9" t="s">
        <v>82</v>
      </c>
      <c r="I186" s="9" t="s">
        <v>83</v>
      </c>
      <c r="J186" s="9" t="s">
        <v>1116</v>
      </c>
      <c r="K186" s="9"/>
      <c r="L186" s="9"/>
      <c r="M186" s="9"/>
      <c r="N186" s="9"/>
      <c r="O186" s="7" t="s">
        <v>17</v>
      </c>
      <c r="P186" s="8" t="s">
        <v>458</v>
      </c>
      <c r="Q186" s="8"/>
      <c r="R186" s="8"/>
    </row>
    <row r="187" spans="2:18" ht="15" customHeight="1">
      <c r="B187" s="9" t="s">
        <v>537</v>
      </c>
      <c r="C187" s="9" t="s">
        <v>1136</v>
      </c>
      <c r="D187" s="9" t="s">
        <v>1137</v>
      </c>
      <c r="E187" s="15" t="s">
        <v>538</v>
      </c>
      <c r="F187" s="15" t="s">
        <v>1253</v>
      </c>
      <c r="G187" s="9" t="s">
        <v>1254</v>
      </c>
      <c r="H187" s="9" t="s">
        <v>58</v>
      </c>
      <c r="I187" s="9" t="s">
        <v>201</v>
      </c>
      <c r="J187" s="9"/>
      <c r="K187" s="9"/>
      <c r="L187" s="9"/>
      <c r="M187" s="9"/>
      <c r="N187" s="9"/>
      <c r="O187" s="7" t="s">
        <v>17</v>
      </c>
      <c r="P187" s="8" t="s">
        <v>443</v>
      </c>
      <c r="Q187" s="8"/>
      <c r="R187" s="8"/>
    </row>
    <row r="188" spans="2:18" ht="15" customHeight="1">
      <c r="B188" s="9" t="s">
        <v>543</v>
      </c>
      <c r="C188" s="9" t="s">
        <v>1136</v>
      </c>
      <c r="D188" s="9" t="s">
        <v>1137</v>
      </c>
      <c r="E188" s="15" t="s">
        <v>538</v>
      </c>
      <c r="F188" s="15" t="s">
        <v>1253</v>
      </c>
      <c r="G188" s="9" t="s">
        <v>1255</v>
      </c>
      <c r="H188" s="9" t="s">
        <v>31</v>
      </c>
      <c r="I188" s="9" t="s">
        <v>32</v>
      </c>
      <c r="J188" s="9" t="s">
        <v>1108</v>
      </c>
      <c r="K188" s="9"/>
      <c r="L188" s="9" t="s">
        <v>1256</v>
      </c>
      <c r="M188" s="9"/>
      <c r="N188" s="9"/>
      <c r="O188" s="7" t="s">
        <v>17</v>
      </c>
      <c r="P188" s="8" t="s">
        <v>28</v>
      </c>
      <c r="Q188" s="8"/>
      <c r="R188" s="8"/>
    </row>
    <row r="189" spans="2:18" ht="15" customHeight="1">
      <c r="B189" s="9" t="s">
        <v>546</v>
      </c>
      <c r="C189" s="9" t="s">
        <v>1136</v>
      </c>
      <c r="D189" s="9" t="s">
        <v>1137</v>
      </c>
      <c r="E189" s="15" t="s">
        <v>538</v>
      </c>
      <c r="F189" s="15" t="s">
        <v>1253</v>
      </c>
      <c r="G189" s="9" t="s">
        <v>1257</v>
      </c>
      <c r="H189" s="9" t="s">
        <v>58</v>
      </c>
      <c r="I189" s="9" t="s">
        <v>59</v>
      </c>
      <c r="J189" s="9" t="s">
        <v>1108</v>
      </c>
      <c r="K189" s="9"/>
      <c r="L189" s="9"/>
      <c r="M189" s="9"/>
      <c r="N189" s="9"/>
      <c r="O189" s="7" t="s">
        <v>17</v>
      </c>
      <c r="P189" s="8" t="s">
        <v>449</v>
      </c>
      <c r="Q189" s="8"/>
      <c r="R189" s="8"/>
    </row>
    <row r="190" spans="2:18" ht="15" customHeight="1">
      <c r="B190" s="9" t="s">
        <v>548</v>
      </c>
      <c r="C190" s="9" t="s">
        <v>1136</v>
      </c>
      <c r="D190" s="9" t="s">
        <v>1137</v>
      </c>
      <c r="E190" s="15" t="s">
        <v>538</v>
      </c>
      <c r="F190" s="15" t="s">
        <v>1253</v>
      </c>
      <c r="G190" s="9" t="s">
        <v>1258</v>
      </c>
      <c r="H190" s="9" t="s">
        <v>58</v>
      </c>
      <c r="I190" s="9" t="s">
        <v>59</v>
      </c>
      <c r="J190" s="9" t="s">
        <v>1108</v>
      </c>
      <c r="K190" s="9"/>
      <c r="L190" s="9"/>
      <c r="M190" s="9"/>
      <c r="N190" s="9"/>
      <c r="O190" s="7" t="s">
        <v>17</v>
      </c>
      <c r="P190" s="8" t="s">
        <v>530</v>
      </c>
      <c r="Q190" s="8"/>
      <c r="R190" s="8"/>
    </row>
    <row r="191" spans="2:18" ht="15" customHeight="1">
      <c r="B191" s="9" t="s">
        <v>550</v>
      </c>
      <c r="C191" s="9" t="s">
        <v>1136</v>
      </c>
      <c r="D191" s="9" t="s">
        <v>1227</v>
      </c>
      <c r="E191" s="15" t="s">
        <v>538</v>
      </c>
      <c r="F191" s="15" t="s">
        <v>1253</v>
      </c>
      <c r="G191" s="9" t="s">
        <v>1259</v>
      </c>
      <c r="H191" s="9" t="s">
        <v>82</v>
      </c>
      <c r="I191" s="9" t="s">
        <v>59</v>
      </c>
      <c r="J191" s="9" t="s">
        <v>1116</v>
      </c>
      <c r="K191" s="9"/>
      <c r="L191" s="9"/>
      <c r="M191" s="9"/>
      <c r="N191" s="9"/>
      <c r="O191" s="7" t="s">
        <v>17</v>
      </c>
      <c r="P191" s="8" t="s">
        <v>210</v>
      </c>
      <c r="Q191" s="8"/>
      <c r="R191" s="8"/>
    </row>
    <row r="192" spans="2:18" ht="15" customHeight="1">
      <c r="B192" s="9" t="s">
        <v>552</v>
      </c>
      <c r="C192" s="9" t="s">
        <v>1136</v>
      </c>
      <c r="D192" s="9" t="s">
        <v>1137</v>
      </c>
      <c r="E192" s="15" t="s">
        <v>538</v>
      </c>
      <c r="F192" s="15" t="s">
        <v>1253</v>
      </c>
      <c r="G192" s="9" t="s">
        <v>1260</v>
      </c>
      <c r="H192" s="9" t="s">
        <v>58</v>
      </c>
      <c r="I192" s="9" t="s">
        <v>59</v>
      </c>
      <c r="J192" s="9" t="s">
        <v>1108</v>
      </c>
      <c r="K192" s="9"/>
      <c r="L192" s="9"/>
      <c r="M192" s="9"/>
      <c r="N192" s="9"/>
      <c r="O192" s="7" t="s">
        <v>17</v>
      </c>
      <c r="P192" s="8" t="s">
        <v>407</v>
      </c>
      <c r="Q192" s="8"/>
      <c r="R192" s="8"/>
    </row>
    <row r="193" spans="2:18" ht="15" customHeight="1">
      <c r="B193" s="9" t="s">
        <v>554</v>
      </c>
      <c r="C193" s="9" t="s">
        <v>1136</v>
      </c>
      <c r="D193" s="9" t="s">
        <v>1137</v>
      </c>
      <c r="E193" s="15" t="s">
        <v>538</v>
      </c>
      <c r="F193" s="15" t="s">
        <v>1253</v>
      </c>
      <c r="G193" s="9" t="s">
        <v>555</v>
      </c>
      <c r="H193" s="9" t="s">
        <v>31</v>
      </c>
      <c r="I193" s="9" t="s">
        <v>32</v>
      </c>
      <c r="J193" s="9" t="s">
        <v>1108</v>
      </c>
      <c r="K193" s="9"/>
      <c r="L193" s="9" t="s">
        <v>1261</v>
      </c>
      <c r="M193" s="9"/>
      <c r="N193" s="9"/>
      <c r="O193" s="7" t="s">
        <v>17</v>
      </c>
      <c r="P193" s="8" t="s">
        <v>60</v>
      </c>
      <c r="Q193" s="8"/>
      <c r="R193" s="8"/>
    </row>
    <row r="194" spans="2:18" ht="15" customHeight="1">
      <c r="B194" s="9" t="s">
        <v>557</v>
      </c>
      <c r="C194" s="9" t="s">
        <v>1118</v>
      </c>
      <c r="D194" s="9" t="s">
        <v>1224</v>
      </c>
      <c r="E194" s="15" t="s">
        <v>538</v>
      </c>
      <c r="F194" s="15" t="s">
        <v>1253</v>
      </c>
      <c r="G194" s="9" t="s">
        <v>558</v>
      </c>
      <c r="H194" s="9" t="s">
        <v>31</v>
      </c>
      <c r="I194" s="9" t="s">
        <v>32</v>
      </c>
      <c r="J194" s="9" t="s">
        <v>1108</v>
      </c>
      <c r="K194" s="9"/>
      <c r="L194" s="9" t="s">
        <v>1262</v>
      </c>
      <c r="M194" s="9"/>
      <c r="N194" s="9"/>
      <c r="O194" s="7" t="s">
        <v>17</v>
      </c>
      <c r="P194" s="8" t="s">
        <v>438</v>
      </c>
      <c r="Q194" s="8"/>
      <c r="R194" s="8"/>
    </row>
    <row r="195" spans="2:18" ht="15" customHeight="1">
      <c r="B195" s="9" t="s">
        <v>560</v>
      </c>
      <c r="C195" s="9" t="s">
        <v>1136</v>
      </c>
      <c r="D195" s="9" t="s">
        <v>1137</v>
      </c>
      <c r="E195" s="15" t="s">
        <v>538</v>
      </c>
      <c r="F195" s="15" t="s">
        <v>1253</v>
      </c>
      <c r="G195" s="9" t="s">
        <v>1263</v>
      </c>
      <c r="H195" s="9" t="s">
        <v>58</v>
      </c>
      <c r="I195" s="9" t="s">
        <v>59</v>
      </c>
      <c r="J195" s="9" t="s">
        <v>1108</v>
      </c>
      <c r="K195" s="9"/>
      <c r="L195" s="9"/>
      <c r="M195" s="9"/>
      <c r="N195" s="9"/>
      <c r="O195" s="7" t="s">
        <v>17</v>
      </c>
      <c r="P195" s="8" t="s">
        <v>407</v>
      </c>
      <c r="Q195" s="8"/>
      <c r="R195" s="8"/>
    </row>
    <row r="196" spans="2:18" ht="15" customHeight="1">
      <c r="B196" s="9" t="s">
        <v>562</v>
      </c>
      <c r="C196" s="9" t="s">
        <v>1136</v>
      </c>
      <c r="D196" s="9" t="s">
        <v>1137</v>
      </c>
      <c r="E196" s="15" t="s">
        <v>538</v>
      </c>
      <c r="F196" s="15" t="s">
        <v>1253</v>
      </c>
      <c r="G196" s="9" t="s">
        <v>1264</v>
      </c>
      <c r="H196" s="9" t="s">
        <v>58</v>
      </c>
      <c r="I196" s="9" t="s">
        <v>59</v>
      </c>
      <c r="J196" s="9" t="s">
        <v>1108</v>
      </c>
      <c r="K196" s="9"/>
      <c r="L196" s="9"/>
      <c r="M196" s="9"/>
      <c r="N196" s="9"/>
      <c r="O196" s="7" t="s">
        <v>17</v>
      </c>
      <c r="P196" s="8" t="s">
        <v>407</v>
      </c>
      <c r="Q196" s="8"/>
      <c r="R196" s="8"/>
    </row>
    <row r="197" spans="2:18" ht="15" customHeight="1">
      <c r="B197" s="9" t="s">
        <v>564</v>
      </c>
      <c r="C197" s="9" t="s">
        <v>1136</v>
      </c>
      <c r="D197" s="9" t="s">
        <v>1137</v>
      </c>
      <c r="E197" s="15" t="s">
        <v>538</v>
      </c>
      <c r="F197" s="15" t="s">
        <v>1253</v>
      </c>
      <c r="G197" s="9" t="s">
        <v>1265</v>
      </c>
      <c r="H197" s="9" t="s">
        <v>58</v>
      </c>
      <c r="I197" s="9" t="s">
        <v>59</v>
      </c>
      <c r="J197" s="9" t="s">
        <v>1108</v>
      </c>
      <c r="K197" s="9"/>
      <c r="L197" s="9"/>
      <c r="M197" s="9"/>
      <c r="N197" s="9"/>
      <c r="O197" s="10" t="s">
        <v>183</v>
      </c>
      <c r="P197" s="8" t="s">
        <v>1266</v>
      </c>
      <c r="Q197" s="8"/>
      <c r="R197" s="8"/>
    </row>
    <row r="198" spans="2:18" ht="15" customHeight="1">
      <c r="B198" s="9" t="s">
        <v>567</v>
      </c>
      <c r="C198" s="9" t="s">
        <v>1136</v>
      </c>
      <c r="D198" s="9" t="s">
        <v>1137</v>
      </c>
      <c r="E198" s="15" t="s">
        <v>538</v>
      </c>
      <c r="F198" s="15" t="s">
        <v>1253</v>
      </c>
      <c r="G198" s="9" t="s">
        <v>1267</v>
      </c>
      <c r="H198" s="9" t="s">
        <v>58</v>
      </c>
      <c r="I198" s="9" t="s">
        <v>59</v>
      </c>
      <c r="J198" s="9" t="s">
        <v>1108</v>
      </c>
      <c r="K198" s="9"/>
      <c r="L198" s="9"/>
      <c r="M198" s="9"/>
      <c r="N198" s="9"/>
      <c r="O198" s="10" t="s">
        <v>183</v>
      </c>
      <c r="P198" s="8" t="s">
        <v>1266</v>
      </c>
      <c r="Q198" s="8"/>
      <c r="R198" s="8"/>
    </row>
    <row r="199" spans="2:18" ht="15" customHeight="1">
      <c r="B199" s="9" t="s">
        <v>569</v>
      </c>
      <c r="C199" s="9" t="s">
        <v>1136</v>
      </c>
      <c r="D199" s="9" t="s">
        <v>1227</v>
      </c>
      <c r="E199" s="15" t="s">
        <v>538</v>
      </c>
      <c r="F199" s="15" t="s">
        <v>1253</v>
      </c>
      <c r="G199" s="9" t="s">
        <v>570</v>
      </c>
      <c r="H199" s="9" t="s">
        <v>82</v>
      </c>
      <c r="I199" s="9" t="s">
        <v>59</v>
      </c>
      <c r="J199" s="9" t="s">
        <v>1116</v>
      </c>
      <c r="K199" s="9"/>
      <c r="L199" s="9"/>
      <c r="M199" s="9"/>
      <c r="N199" s="9"/>
      <c r="O199" s="7" t="s">
        <v>17</v>
      </c>
      <c r="P199" s="8" t="s">
        <v>210</v>
      </c>
      <c r="Q199" s="8"/>
      <c r="R199" s="8"/>
    </row>
    <row r="200" spans="2:18" ht="15" customHeight="1">
      <c r="B200" s="9" t="s">
        <v>571</v>
      </c>
      <c r="C200" s="9" t="s">
        <v>1136</v>
      </c>
      <c r="D200" s="9" t="s">
        <v>1227</v>
      </c>
      <c r="E200" s="15" t="s">
        <v>538</v>
      </c>
      <c r="F200" s="15" t="s">
        <v>1253</v>
      </c>
      <c r="G200" s="9" t="s">
        <v>572</v>
      </c>
      <c r="H200" s="9" t="s">
        <v>82</v>
      </c>
      <c r="I200" s="9" t="s">
        <v>83</v>
      </c>
      <c r="J200" s="9" t="s">
        <v>1116</v>
      </c>
      <c r="K200" s="9"/>
      <c r="L200" s="9"/>
      <c r="M200" s="9"/>
      <c r="N200" s="9"/>
      <c r="O200" s="7" t="s">
        <v>17</v>
      </c>
      <c r="P200" s="8" t="s">
        <v>573</v>
      </c>
      <c r="Q200" s="8"/>
      <c r="R200" s="8"/>
    </row>
    <row r="201" spans="2:18" ht="15" customHeight="1">
      <c r="B201" s="9" t="s">
        <v>574</v>
      </c>
      <c r="C201" s="9" t="s">
        <v>1136</v>
      </c>
      <c r="D201" s="9" t="s">
        <v>1227</v>
      </c>
      <c r="E201" s="15" t="s">
        <v>538</v>
      </c>
      <c r="F201" s="15" t="s">
        <v>1253</v>
      </c>
      <c r="G201" s="9" t="s">
        <v>575</v>
      </c>
      <c r="H201" s="9" t="s">
        <v>82</v>
      </c>
      <c r="I201" s="9" t="s">
        <v>83</v>
      </c>
      <c r="J201" s="9" t="s">
        <v>1116</v>
      </c>
      <c r="K201" s="9"/>
      <c r="L201" s="9"/>
      <c r="M201" s="9"/>
      <c r="N201" s="9"/>
      <c r="O201" s="7" t="s">
        <v>17</v>
      </c>
      <c r="P201" s="8" t="s">
        <v>573</v>
      </c>
      <c r="Q201" s="8"/>
      <c r="R201" s="8"/>
    </row>
    <row r="202" spans="2:18" ht="15" customHeight="1">
      <c r="B202" s="9" t="s">
        <v>587</v>
      </c>
      <c r="C202" s="9" t="s">
        <v>1136</v>
      </c>
      <c r="D202" s="9" t="s">
        <v>1137</v>
      </c>
      <c r="E202" s="15" t="s">
        <v>538</v>
      </c>
      <c r="F202" s="15" t="s">
        <v>1253</v>
      </c>
      <c r="G202" s="9" t="s">
        <v>1268</v>
      </c>
      <c r="H202" s="9" t="s">
        <v>58</v>
      </c>
      <c r="I202" s="9" t="s">
        <v>59</v>
      </c>
      <c r="J202" s="9" t="s">
        <v>1108</v>
      </c>
      <c r="K202" s="9"/>
      <c r="L202" s="9"/>
      <c r="M202" s="9"/>
      <c r="N202" s="9"/>
      <c r="O202" s="10" t="s">
        <v>183</v>
      </c>
      <c r="P202" s="8" t="s">
        <v>1266</v>
      </c>
      <c r="Q202" s="8"/>
      <c r="R202" s="8"/>
    </row>
    <row r="203" spans="2:18" ht="15" customHeight="1">
      <c r="B203" s="9" t="s">
        <v>589</v>
      </c>
      <c r="C203" s="9" t="s">
        <v>1136</v>
      </c>
      <c r="D203" s="9"/>
      <c r="E203" s="15" t="s">
        <v>590</v>
      </c>
      <c r="F203" s="15" t="s">
        <v>591</v>
      </c>
      <c r="G203" s="9" t="s">
        <v>1269</v>
      </c>
      <c r="H203" s="9" t="s">
        <v>58</v>
      </c>
      <c r="I203" s="9" t="s">
        <v>201</v>
      </c>
      <c r="J203" s="9"/>
      <c r="K203" s="9"/>
      <c r="L203" s="9"/>
      <c r="M203" s="9"/>
      <c r="N203" s="9"/>
      <c r="O203" s="7" t="s">
        <v>17</v>
      </c>
      <c r="P203" s="8" t="s">
        <v>443</v>
      </c>
      <c r="Q203" s="8"/>
      <c r="R203" s="8"/>
    </row>
    <row r="204" spans="2:18" ht="15" customHeight="1">
      <c r="B204" s="9" t="s">
        <v>593</v>
      </c>
      <c r="C204" s="9" t="s">
        <v>1136</v>
      </c>
      <c r="D204" s="9"/>
      <c r="E204" s="15" t="s">
        <v>594</v>
      </c>
      <c r="F204" s="15" t="s">
        <v>1270</v>
      </c>
      <c r="G204" s="9" t="s">
        <v>1271</v>
      </c>
      <c r="H204" s="9" t="s">
        <v>58</v>
      </c>
      <c r="I204" s="9" t="s">
        <v>201</v>
      </c>
      <c r="J204" s="9"/>
      <c r="K204" s="9"/>
      <c r="L204" s="9"/>
      <c r="M204" s="9"/>
      <c r="N204" s="9"/>
      <c r="O204" s="7" t="s">
        <v>17</v>
      </c>
      <c r="P204" s="8" t="s">
        <v>443</v>
      </c>
      <c r="Q204" s="8"/>
      <c r="R204" s="8"/>
    </row>
    <row r="205" spans="2:18" ht="15" customHeight="1">
      <c r="B205" s="9" t="s">
        <v>601</v>
      </c>
      <c r="C205" s="9" t="s">
        <v>1136</v>
      </c>
      <c r="D205" s="9"/>
      <c r="E205" s="15" t="s">
        <v>594</v>
      </c>
      <c r="F205" s="15" t="s">
        <v>1270</v>
      </c>
      <c r="G205" s="9" t="s">
        <v>1272</v>
      </c>
      <c r="H205" s="9" t="s">
        <v>31</v>
      </c>
      <c r="I205" s="9" t="s">
        <v>32</v>
      </c>
      <c r="J205" s="9" t="s">
        <v>1108</v>
      </c>
      <c r="K205" s="9"/>
      <c r="L205" s="9" t="s">
        <v>1273</v>
      </c>
      <c r="M205" s="9"/>
      <c r="N205" s="9"/>
      <c r="O205" s="7" t="s">
        <v>17</v>
      </c>
      <c r="P205" s="8" t="s">
        <v>28</v>
      </c>
      <c r="Q205" s="8"/>
      <c r="R205" s="8"/>
    </row>
    <row r="206" spans="2:18" ht="15" customHeight="1">
      <c r="B206" s="9" t="s">
        <v>604</v>
      </c>
      <c r="C206" s="9" t="s">
        <v>1136</v>
      </c>
      <c r="D206" s="9" t="s">
        <v>1137</v>
      </c>
      <c r="E206" s="15" t="s">
        <v>594</v>
      </c>
      <c r="F206" s="15" t="s">
        <v>1270</v>
      </c>
      <c r="G206" s="9" t="s">
        <v>1274</v>
      </c>
      <c r="H206" s="9" t="s">
        <v>58</v>
      </c>
      <c r="I206" s="9" t="s">
        <v>59</v>
      </c>
      <c r="J206" s="9" t="s">
        <v>1108</v>
      </c>
      <c r="K206" s="9"/>
      <c r="L206" s="9"/>
      <c r="M206" s="9"/>
      <c r="N206" s="9"/>
      <c r="O206" s="7" t="s">
        <v>17</v>
      </c>
      <c r="P206" s="8" t="s">
        <v>449</v>
      </c>
      <c r="Q206" s="8"/>
      <c r="R206" s="8"/>
    </row>
    <row r="207" spans="2:18" ht="15" customHeight="1">
      <c r="B207" s="9" t="s">
        <v>606</v>
      </c>
      <c r="C207" s="9" t="s">
        <v>1136</v>
      </c>
      <c r="D207" s="9" t="s">
        <v>1137</v>
      </c>
      <c r="E207" s="15" t="s">
        <v>594</v>
      </c>
      <c r="F207" s="15" t="s">
        <v>1270</v>
      </c>
      <c r="G207" s="9" t="s">
        <v>607</v>
      </c>
      <c r="H207" s="9" t="s">
        <v>58</v>
      </c>
      <c r="I207" s="9" t="s">
        <v>59</v>
      </c>
      <c r="J207" s="9" t="s">
        <v>1108</v>
      </c>
      <c r="K207" s="9"/>
      <c r="L207" s="9"/>
      <c r="M207" s="9"/>
      <c r="N207" s="9"/>
      <c r="O207" s="7" t="s">
        <v>17</v>
      </c>
      <c r="P207" s="8" t="s">
        <v>530</v>
      </c>
      <c r="Q207" s="8"/>
      <c r="R207" s="8"/>
    </row>
    <row r="208" spans="2:18" ht="15" customHeight="1">
      <c r="B208" s="9" t="s">
        <v>608</v>
      </c>
      <c r="C208" s="9" t="s">
        <v>1136</v>
      </c>
      <c r="D208" s="9" t="s">
        <v>1137</v>
      </c>
      <c r="E208" s="15" t="s">
        <v>594</v>
      </c>
      <c r="F208" s="15" t="s">
        <v>1270</v>
      </c>
      <c r="G208" s="9" t="s">
        <v>1275</v>
      </c>
      <c r="H208" s="9" t="s">
        <v>58</v>
      </c>
      <c r="I208" s="9" t="s">
        <v>59</v>
      </c>
      <c r="J208" s="9" t="s">
        <v>1108</v>
      </c>
      <c r="K208" s="9"/>
      <c r="L208" s="9"/>
      <c r="M208" s="9"/>
      <c r="N208" s="9"/>
      <c r="O208" s="7" t="s">
        <v>17</v>
      </c>
      <c r="P208" s="8" t="s">
        <v>498</v>
      </c>
      <c r="Q208" s="8"/>
      <c r="R208" s="8"/>
    </row>
    <row r="209" spans="2:18" ht="15" customHeight="1">
      <c r="B209" s="9" t="s">
        <v>610</v>
      </c>
      <c r="C209" s="9" t="s">
        <v>1118</v>
      </c>
      <c r="D209" s="9" t="s">
        <v>1119</v>
      </c>
      <c r="E209" s="15" t="s">
        <v>594</v>
      </c>
      <c r="F209" s="15" t="s">
        <v>1270</v>
      </c>
      <c r="G209" s="9" t="s">
        <v>611</v>
      </c>
      <c r="H209" s="9" t="s">
        <v>82</v>
      </c>
      <c r="I209" s="9" t="s">
        <v>83</v>
      </c>
      <c r="J209" s="9" t="s">
        <v>1116</v>
      </c>
      <c r="K209" s="9"/>
      <c r="L209" s="9"/>
      <c r="M209" s="9"/>
      <c r="N209" s="9"/>
      <c r="O209" s="7" t="s">
        <v>17</v>
      </c>
      <c r="P209" s="8" t="s">
        <v>214</v>
      </c>
      <c r="Q209" s="8"/>
      <c r="R209" s="8"/>
    </row>
    <row r="210" spans="2:18" ht="15" customHeight="1">
      <c r="B210" s="9" t="s">
        <v>612</v>
      </c>
      <c r="C210" s="9" t="s">
        <v>1118</v>
      </c>
      <c r="D210" s="9" t="s">
        <v>1119</v>
      </c>
      <c r="E210" s="15" t="s">
        <v>594</v>
      </c>
      <c r="F210" s="15" t="s">
        <v>1270</v>
      </c>
      <c r="G210" s="9" t="s">
        <v>613</v>
      </c>
      <c r="H210" s="9" t="s">
        <v>82</v>
      </c>
      <c r="I210" s="9" t="s">
        <v>83</v>
      </c>
      <c r="J210" s="9" t="s">
        <v>1116</v>
      </c>
      <c r="K210" s="9"/>
      <c r="L210" s="9"/>
      <c r="M210" s="9"/>
      <c r="N210" s="9"/>
      <c r="O210" s="7" t="s">
        <v>17</v>
      </c>
      <c r="P210" s="8" t="s">
        <v>214</v>
      </c>
      <c r="Q210" s="8"/>
      <c r="R210" s="8"/>
    </row>
    <row r="211" spans="2:18" ht="15" customHeight="1">
      <c r="B211" s="9" t="s">
        <v>614</v>
      </c>
      <c r="C211" s="9" t="s">
        <v>1136</v>
      </c>
      <c r="D211" s="9" t="s">
        <v>1227</v>
      </c>
      <c r="E211" s="15" t="s">
        <v>594</v>
      </c>
      <c r="F211" s="15" t="s">
        <v>1270</v>
      </c>
      <c r="G211" s="9" t="s">
        <v>615</v>
      </c>
      <c r="H211" s="9" t="s">
        <v>82</v>
      </c>
      <c r="I211" s="9" t="s">
        <v>83</v>
      </c>
      <c r="J211" s="9" t="s">
        <v>1116</v>
      </c>
      <c r="K211" s="9"/>
      <c r="L211" s="9"/>
      <c r="M211" s="9"/>
      <c r="N211" s="9"/>
      <c r="O211" s="7" t="s">
        <v>17</v>
      </c>
      <c r="P211" s="8" t="s">
        <v>458</v>
      </c>
      <c r="Q211" s="8"/>
      <c r="R211" s="8"/>
    </row>
    <row r="212" spans="2:18" ht="15" customHeight="1">
      <c r="B212" s="9" t="s">
        <v>616</v>
      </c>
      <c r="C212" s="9" t="s">
        <v>1136</v>
      </c>
      <c r="D212" s="9" t="s">
        <v>1227</v>
      </c>
      <c r="E212" s="15" t="s">
        <v>594</v>
      </c>
      <c r="F212" s="15" t="s">
        <v>1270</v>
      </c>
      <c r="G212" s="9" t="s">
        <v>617</v>
      </c>
      <c r="H212" s="9" t="s">
        <v>82</v>
      </c>
      <c r="I212" s="9" t="s">
        <v>83</v>
      </c>
      <c r="J212" s="9" t="s">
        <v>1116</v>
      </c>
      <c r="K212" s="9"/>
      <c r="L212" s="9"/>
      <c r="M212" s="9"/>
      <c r="N212" s="9"/>
      <c r="O212" s="7" t="s">
        <v>17</v>
      </c>
      <c r="P212" s="8" t="s">
        <v>458</v>
      </c>
      <c r="Q212" s="8"/>
      <c r="R212" s="8"/>
    </row>
    <row r="213" spans="2:18" ht="15" customHeight="1">
      <c r="B213" s="9" t="s">
        <v>618</v>
      </c>
      <c r="C213" s="9" t="s">
        <v>1136</v>
      </c>
      <c r="D213" s="9" t="s">
        <v>1137</v>
      </c>
      <c r="E213" s="15" t="s">
        <v>594</v>
      </c>
      <c r="F213" s="15" t="s">
        <v>1270</v>
      </c>
      <c r="G213" s="9" t="s">
        <v>1276</v>
      </c>
      <c r="H213" s="9" t="s">
        <v>58</v>
      </c>
      <c r="I213" s="9" t="s">
        <v>59</v>
      </c>
      <c r="J213" s="9" t="s">
        <v>1108</v>
      </c>
      <c r="K213" s="9"/>
      <c r="L213" s="9"/>
      <c r="M213" s="9"/>
      <c r="N213" s="9"/>
      <c r="O213" s="10" t="s">
        <v>183</v>
      </c>
      <c r="P213" s="8" t="s">
        <v>1266</v>
      </c>
      <c r="Q213" s="8"/>
      <c r="R213" s="8"/>
    </row>
    <row r="214" spans="2:18" ht="15" customHeight="1">
      <c r="B214" s="9" t="s">
        <v>622</v>
      </c>
      <c r="C214" s="9" t="s">
        <v>1136</v>
      </c>
      <c r="D214" s="9"/>
      <c r="E214" s="15" t="s">
        <v>623</v>
      </c>
      <c r="F214" s="15" t="s">
        <v>624</v>
      </c>
      <c r="G214" s="9" t="s">
        <v>625</v>
      </c>
      <c r="H214" s="9" t="s">
        <v>58</v>
      </c>
      <c r="I214" s="9" t="s">
        <v>201</v>
      </c>
      <c r="J214" s="9"/>
      <c r="K214" s="9"/>
      <c r="L214" s="9"/>
      <c r="M214" s="9"/>
      <c r="N214" s="9"/>
      <c r="O214" s="7" t="s">
        <v>17</v>
      </c>
      <c r="P214" s="8" t="s">
        <v>443</v>
      </c>
      <c r="Q214" s="8"/>
      <c r="R214" s="8"/>
    </row>
    <row r="215" spans="2:18" ht="15" customHeight="1">
      <c r="B215" s="9" t="s">
        <v>626</v>
      </c>
      <c r="C215" s="9" t="s">
        <v>1136</v>
      </c>
      <c r="D215" s="9"/>
      <c r="E215" s="15" t="s">
        <v>623</v>
      </c>
      <c r="F215" s="15" t="s">
        <v>624</v>
      </c>
      <c r="G215" s="9" t="s">
        <v>1277</v>
      </c>
      <c r="H215" s="9" t="s">
        <v>31</v>
      </c>
      <c r="I215" s="9" t="s">
        <v>32</v>
      </c>
      <c r="J215" s="9" t="s">
        <v>1108</v>
      </c>
      <c r="K215" s="9"/>
      <c r="L215" s="9" t="s">
        <v>1278</v>
      </c>
      <c r="M215" s="9"/>
      <c r="N215" s="9"/>
      <c r="O215" s="7" t="s">
        <v>17</v>
      </c>
      <c r="P215" s="8" t="s">
        <v>28</v>
      </c>
      <c r="Q215" s="8"/>
      <c r="R215" s="8"/>
    </row>
    <row r="216" spans="2:18" ht="15" customHeight="1">
      <c r="B216" s="9" t="s">
        <v>629</v>
      </c>
      <c r="C216" s="9" t="s">
        <v>1136</v>
      </c>
      <c r="D216" s="9" t="s">
        <v>1137</v>
      </c>
      <c r="E216" s="15" t="s">
        <v>623</v>
      </c>
      <c r="F216" s="15" t="s">
        <v>624</v>
      </c>
      <c r="G216" s="9" t="s">
        <v>630</v>
      </c>
      <c r="H216" s="9" t="s">
        <v>58</v>
      </c>
      <c r="I216" s="9" t="s">
        <v>59</v>
      </c>
      <c r="J216" s="9" t="s">
        <v>1108</v>
      </c>
      <c r="K216" s="9"/>
      <c r="L216" s="9"/>
      <c r="M216" s="9"/>
      <c r="N216" s="9"/>
      <c r="O216" s="7" t="s">
        <v>17</v>
      </c>
      <c r="P216" s="8" t="s">
        <v>631</v>
      </c>
      <c r="Q216" s="8"/>
      <c r="R216" s="8"/>
    </row>
    <row r="217" spans="2:18" ht="15" customHeight="1">
      <c r="B217" s="9" t="s">
        <v>632</v>
      </c>
      <c r="C217" s="9" t="s">
        <v>1136</v>
      </c>
      <c r="D217" s="9" t="s">
        <v>1227</v>
      </c>
      <c r="E217" s="15" t="s">
        <v>623</v>
      </c>
      <c r="F217" s="15" t="s">
        <v>624</v>
      </c>
      <c r="G217" s="9" t="s">
        <v>633</v>
      </c>
      <c r="H217" s="9" t="s">
        <v>82</v>
      </c>
      <c r="I217" s="9" t="s">
        <v>59</v>
      </c>
      <c r="J217" s="9" t="s">
        <v>1116</v>
      </c>
      <c r="K217" s="9"/>
      <c r="L217" s="9"/>
      <c r="M217" s="9"/>
      <c r="N217" s="9"/>
      <c r="O217" s="7" t="s">
        <v>17</v>
      </c>
      <c r="P217" s="8" t="s">
        <v>479</v>
      </c>
      <c r="Q217" s="8"/>
      <c r="R217" s="8"/>
    </row>
    <row r="218" spans="2:18" ht="15" customHeight="1">
      <c r="B218" s="9" t="s">
        <v>634</v>
      </c>
      <c r="C218" s="9" t="s">
        <v>1136</v>
      </c>
      <c r="D218" s="9" t="s">
        <v>1227</v>
      </c>
      <c r="E218" s="15" t="s">
        <v>623</v>
      </c>
      <c r="F218" s="15" t="s">
        <v>624</v>
      </c>
      <c r="G218" s="9" t="s">
        <v>635</v>
      </c>
      <c r="H218" s="9" t="s">
        <v>82</v>
      </c>
      <c r="I218" s="9" t="s">
        <v>59</v>
      </c>
      <c r="J218" s="9" t="s">
        <v>1116</v>
      </c>
      <c r="K218" s="9"/>
      <c r="L218" s="9"/>
      <c r="M218" s="9"/>
      <c r="N218" s="9"/>
      <c r="O218" s="7" t="s">
        <v>17</v>
      </c>
      <c r="P218" s="8" t="s">
        <v>504</v>
      </c>
      <c r="Q218" s="8"/>
      <c r="R218" s="8"/>
    </row>
    <row r="219" spans="2:18" ht="15" customHeight="1">
      <c r="B219" s="9" t="s">
        <v>636</v>
      </c>
      <c r="C219" s="9" t="s">
        <v>1136</v>
      </c>
      <c r="D219" s="9"/>
      <c r="E219" s="15" t="s">
        <v>637</v>
      </c>
      <c r="F219" s="15" t="s">
        <v>638</v>
      </c>
      <c r="G219" s="9" t="s">
        <v>639</v>
      </c>
      <c r="H219" s="9" t="s">
        <v>58</v>
      </c>
      <c r="I219" s="9" t="s">
        <v>201</v>
      </c>
      <c r="J219" s="9"/>
      <c r="K219" s="9"/>
      <c r="L219" s="9"/>
      <c r="M219" s="9"/>
      <c r="N219" s="9"/>
      <c r="O219" s="7" t="s">
        <v>17</v>
      </c>
      <c r="P219" s="8" t="s">
        <v>443</v>
      </c>
      <c r="Q219" s="8"/>
      <c r="R219" s="8"/>
    </row>
    <row r="220" spans="2:18" ht="15" customHeight="1">
      <c r="B220" s="9" t="s">
        <v>640</v>
      </c>
      <c r="C220" s="9" t="s">
        <v>1136</v>
      </c>
      <c r="D220" s="9"/>
      <c r="E220" s="15" t="s">
        <v>637</v>
      </c>
      <c r="F220" s="15" t="s">
        <v>638</v>
      </c>
      <c r="G220" s="9" t="s">
        <v>1279</v>
      </c>
      <c r="H220" s="9" t="s">
        <v>31</v>
      </c>
      <c r="I220" s="9" t="s">
        <v>32</v>
      </c>
      <c r="J220" s="9" t="s">
        <v>1108</v>
      </c>
      <c r="K220" s="9"/>
      <c r="L220" s="9" t="s">
        <v>1280</v>
      </c>
      <c r="M220" s="9"/>
      <c r="N220" s="9"/>
      <c r="O220" s="7" t="s">
        <v>17</v>
      </c>
      <c r="P220" s="8" t="s">
        <v>28</v>
      </c>
      <c r="Q220" s="8"/>
      <c r="R220" s="8"/>
    </row>
    <row r="221" spans="2:18" ht="15" customHeight="1">
      <c r="B221" s="9" t="s">
        <v>643</v>
      </c>
      <c r="C221" s="9" t="s">
        <v>1136</v>
      </c>
      <c r="D221" s="9" t="s">
        <v>1137</v>
      </c>
      <c r="E221" s="15" t="s">
        <v>637</v>
      </c>
      <c r="F221" s="15" t="s">
        <v>638</v>
      </c>
      <c r="G221" s="9" t="s">
        <v>644</v>
      </c>
      <c r="H221" s="9" t="s">
        <v>58</v>
      </c>
      <c r="I221" s="9" t="s">
        <v>59</v>
      </c>
      <c r="J221" s="9" t="s">
        <v>1108</v>
      </c>
      <c r="K221" s="9"/>
      <c r="L221" s="9"/>
      <c r="M221" s="9"/>
      <c r="N221" s="9"/>
      <c r="O221" s="7" t="s">
        <v>17</v>
      </c>
      <c r="P221" s="8" t="s">
        <v>407</v>
      </c>
      <c r="Q221" s="8"/>
      <c r="R221" s="8"/>
    </row>
    <row r="222" spans="2:18" ht="15" customHeight="1">
      <c r="B222" s="9" t="s">
        <v>645</v>
      </c>
      <c r="C222" s="9" t="s">
        <v>1136</v>
      </c>
      <c r="D222" s="9" t="s">
        <v>1227</v>
      </c>
      <c r="E222" s="15" t="s">
        <v>637</v>
      </c>
      <c r="F222" s="15" t="s">
        <v>638</v>
      </c>
      <c r="G222" s="9" t="s">
        <v>646</v>
      </c>
      <c r="H222" s="9" t="s">
        <v>82</v>
      </c>
      <c r="I222" s="9" t="s">
        <v>59</v>
      </c>
      <c r="J222" s="9" t="s">
        <v>1116</v>
      </c>
      <c r="K222" s="9"/>
      <c r="L222" s="9"/>
      <c r="M222" s="9"/>
      <c r="N222" s="9"/>
      <c r="O222" s="7" t="s">
        <v>17</v>
      </c>
      <c r="P222" s="8" t="s">
        <v>647</v>
      </c>
      <c r="Q222" s="8"/>
      <c r="R222" s="8"/>
    </row>
    <row r="223" spans="2:18" ht="15" customHeight="1">
      <c r="B223" s="9" t="s">
        <v>648</v>
      </c>
      <c r="C223" s="9" t="s">
        <v>1136</v>
      </c>
      <c r="D223" s="9"/>
      <c r="E223" s="15" t="s">
        <v>649</v>
      </c>
      <c r="F223" s="15" t="s">
        <v>650</v>
      </c>
      <c r="G223" s="9" t="s">
        <v>651</v>
      </c>
      <c r="H223" s="9" t="s">
        <v>58</v>
      </c>
      <c r="I223" s="9" t="s">
        <v>201</v>
      </c>
      <c r="J223" s="9"/>
      <c r="K223" s="9"/>
      <c r="L223" s="9"/>
      <c r="M223" s="9"/>
      <c r="N223" s="9"/>
      <c r="O223" s="7" t="s">
        <v>17</v>
      </c>
      <c r="P223" s="8" t="s">
        <v>443</v>
      </c>
      <c r="Q223" s="8"/>
      <c r="R223" s="8"/>
    </row>
    <row r="224" spans="2:18" ht="15" customHeight="1">
      <c r="B224" s="9" t="s">
        <v>652</v>
      </c>
      <c r="C224" s="9" t="s">
        <v>1136</v>
      </c>
      <c r="D224" s="9"/>
      <c r="E224" s="15" t="s">
        <v>649</v>
      </c>
      <c r="F224" s="15" t="s">
        <v>650</v>
      </c>
      <c r="G224" s="9" t="s">
        <v>653</v>
      </c>
      <c r="H224" s="9" t="s">
        <v>31</v>
      </c>
      <c r="I224" s="9" t="s">
        <v>32</v>
      </c>
      <c r="J224" s="9" t="s">
        <v>1108</v>
      </c>
      <c r="K224" s="9"/>
      <c r="L224" s="9" t="s">
        <v>1281</v>
      </c>
      <c r="M224" s="9"/>
      <c r="N224" s="9"/>
      <c r="O224" s="7" t="s">
        <v>17</v>
      </c>
      <c r="P224" s="8" t="s">
        <v>28</v>
      </c>
      <c r="Q224" s="8"/>
      <c r="R224" s="8"/>
    </row>
    <row r="225" spans="2:18" ht="15" customHeight="1">
      <c r="B225" s="9" t="s">
        <v>655</v>
      </c>
      <c r="C225" s="9" t="s">
        <v>1136</v>
      </c>
      <c r="D225" s="9" t="s">
        <v>1137</v>
      </c>
      <c r="E225" s="15" t="s">
        <v>649</v>
      </c>
      <c r="F225" s="15" t="s">
        <v>650</v>
      </c>
      <c r="G225" s="9" t="s">
        <v>656</v>
      </c>
      <c r="H225" s="9" t="s">
        <v>58</v>
      </c>
      <c r="I225" s="9" t="s">
        <v>59</v>
      </c>
      <c r="J225" s="9" t="s">
        <v>1108</v>
      </c>
      <c r="K225" s="9"/>
      <c r="L225" s="9"/>
      <c r="M225" s="9"/>
      <c r="N225" s="9"/>
      <c r="O225" s="7" t="s">
        <v>17</v>
      </c>
      <c r="P225" s="8" t="s">
        <v>449</v>
      </c>
      <c r="Q225" s="8"/>
      <c r="R225" s="8"/>
    </row>
    <row r="226" spans="2:18" ht="15" customHeight="1">
      <c r="B226" s="9" t="s">
        <v>657</v>
      </c>
      <c r="C226" s="9" t="s">
        <v>1136</v>
      </c>
      <c r="D226" s="9" t="s">
        <v>1137</v>
      </c>
      <c r="E226" s="15" t="s">
        <v>649</v>
      </c>
      <c r="F226" s="15" t="s">
        <v>650</v>
      </c>
      <c r="G226" s="9" t="s">
        <v>1282</v>
      </c>
      <c r="H226" s="9" t="s">
        <v>58</v>
      </c>
      <c r="I226" s="9" t="s">
        <v>59</v>
      </c>
      <c r="J226" s="9" t="s">
        <v>1108</v>
      </c>
      <c r="K226" s="9"/>
      <c r="L226" s="9"/>
      <c r="M226" s="9"/>
      <c r="N226" s="9"/>
      <c r="O226" s="7" t="s">
        <v>17</v>
      </c>
      <c r="P226" s="8" t="s">
        <v>530</v>
      </c>
      <c r="Q226" s="8"/>
      <c r="R226" s="8"/>
    </row>
    <row r="227" spans="2:18" ht="15" customHeight="1">
      <c r="B227" s="9" t="s">
        <v>659</v>
      </c>
      <c r="C227" s="9" t="s">
        <v>1136</v>
      </c>
      <c r="D227" s="9" t="s">
        <v>1137</v>
      </c>
      <c r="E227" s="15" t="s">
        <v>649</v>
      </c>
      <c r="F227" s="15" t="s">
        <v>650</v>
      </c>
      <c r="G227" s="9" t="s">
        <v>660</v>
      </c>
      <c r="H227" s="9" t="s">
        <v>58</v>
      </c>
      <c r="I227" s="9" t="s">
        <v>59</v>
      </c>
      <c r="J227" s="9" t="s">
        <v>1108</v>
      </c>
      <c r="K227" s="9"/>
      <c r="L227" s="9"/>
      <c r="M227" s="9"/>
      <c r="N227" s="9"/>
      <c r="O227" s="7" t="s">
        <v>17</v>
      </c>
      <c r="P227" s="8" t="s">
        <v>407</v>
      </c>
      <c r="Q227" s="8"/>
      <c r="R227" s="8"/>
    </row>
    <row r="228" spans="2:18" ht="15" customHeight="1">
      <c r="B228" s="9" t="s">
        <v>661</v>
      </c>
      <c r="C228" s="9" t="s">
        <v>1136</v>
      </c>
      <c r="D228" s="9"/>
      <c r="E228" s="15" t="s">
        <v>649</v>
      </c>
      <c r="F228" s="15" t="s">
        <v>650</v>
      </c>
      <c r="G228" s="9" t="s">
        <v>662</v>
      </c>
      <c r="H228" s="9" t="s">
        <v>31</v>
      </c>
      <c r="I228" s="9" t="s">
        <v>32</v>
      </c>
      <c r="J228" s="9" t="s">
        <v>1108</v>
      </c>
      <c r="K228" s="9"/>
      <c r="L228" s="9" t="s">
        <v>1261</v>
      </c>
      <c r="M228" s="9"/>
      <c r="N228" s="9"/>
      <c r="O228" s="7" t="s">
        <v>17</v>
      </c>
      <c r="P228" s="8" t="s">
        <v>60</v>
      </c>
      <c r="Q228" s="8"/>
      <c r="R228" s="8"/>
    </row>
    <row r="229" spans="2:18" ht="15" customHeight="1">
      <c r="B229" s="9" t="s">
        <v>663</v>
      </c>
      <c r="C229" s="9" t="s">
        <v>1118</v>
      </c>
      <c r="D229" s="9" t="s">
        <v>1224</v>
      </c>
      <c r="E229" s="15" t="s">
        <v>649</v>
      </c>
      <c r="F229" s="15" t="s">
        <v>650</v>
      </c>
      <c r="G229" s="9" t="s">
        <v>558</v>
      </c>
      <c r="H229" s="9" t="s">
        <v>31</v>
      </c>
      <c r="I229" s="9" t="s">
        <v>32</v>
      </c>
      <c r="J229" s="9" t="s">
        <v>1108</v>
      </c>
      <c r="K229" s="9"/>
      <c r="L229" s="9" t="s">
        <v>1262</v>
      </c>
      <c r="M229" s="9"/>
      <c r="N229" s="9"/>
      <c r="O229" s="7" t="s">
        <v>17</v>
      </c>
      <c r="P229" s="8" t="s">
        <v>438</v>
      </c>
      <c r="Q229" s="8"/>
      <c r="R229" s="8"/>
    </row>
    <row r="230" spans="2:18" ht="15" customHeight="1">
      <c r="B230" s="9" t="s">
        <v>664</v>
      </c>
      <c r="C230" s="9" t="s">
        <v>1136</v>
      </c>
      <c r="D230" s="9" t="s">
        <v>1137</v>
      </c>
      <c r="E230" s="15" t="s">
        <v>649</v>
      </c>
      <c r="F230" s="15" t="s">
        <v>650</v>
      </c>
      <c r="G230" s="9" t="s">
        <v>665</v>
      </c>
      <c r="H230" s="9" t="s">
        <v>58</v>
      </c>
      <c r="I230" s="9" t="s">
        <v>59</v>
      </c>
      <c r="J230" s="9" t="s">
        <v>1108</v>
      </c>
      <c r="K230" s="9"/>
      <c r="L230" s="9"/>
      <c r="M230" s="9" t="s">
        <v>666</v>
      </c>
      <c r="N230" s="9"/>
      <c r="O230" s="10" t="s">
        <v>183</v>
      </c>
      <c r="P230" s="8" t="s">
        <v>667</v>
      </c>
      <c r="Q230" s="8"/>
      <c r="R230" s="8"/>
    </row>
    <row r="231" spans="2:18" ht="15" customHeight="1">
      <c r="B231" s="9" t="s">
        <v>668</v>
      </c>
      <c r="C231" s="9" t="s">
        <v>1136</v>
      </c>
      <c r="D231" s="9"/>
      <c r="E231" s="15" t="s">
        <v>649</v>
      </c>
      <c r="F231" s="15" t="s">
        <v>650</v>
      </c>
      <c r="G231" s="9" t="s">
        <v>669</v>
      </c>
      <c r="H231" s="9" t="s">
        <v>31</v>
      </c>
      <c r="I231" s="9" t="s">
        <v>32</v>
      </c>
      <c r="J231" s="9" t="s">
        <v>1108</v>
      </c>
      <c r="K231" s="9"/>
      <c r="L231" s="9" t="s">
        <v>1261</v>
      </c>
      <c r="M231" s="9" t="s">
        <v>666</v>
      </c>
      <c r="N231" s="9"/>
      <c r="O231" s="7" t="s">
        <v>17</v>
      </c>
      <c r="P231" s="8" t="s">
        <v>60</v>
      </c>
      <c r="Q231" s="8"/>
      <c r="R231" s="8"/>
    </row>
    <row r="232" spans="2:18" ht="15" customHeight="1">
      <c r="B232" s="9" t="s">
        <v>670</v>
      </c>
      <c r="C232" s="9" t="s">
        <v>1118</v>
      </c>
      <c r="D232" s="9" t="s">
        <v>1224</v>
      </c>
      <c r="E232" s="15" t="s">
        <v>649</v>
      </c>
      <c r="F232" s="15" t="s">
        <v>650</v>
      </c>
      <c r="G232" s="9" t="s">
        <v>558</v>
      </c>
      <c r="H232" s="9" t="s">
        <v>31</v>
      </c>
      <c r="I232" s="9" t="s">
        <v>32</v>
      </c>
      <c r="J232" s="9" t="s">
        <v>1108</v>
      </c>
      <c r="K232" s="9"/>
      <c r="L232" s="9" t="s">
        <v>1262</v>
      </c>
      <c r="M232" s="9" t="s">
        <v>666</v>
      </c>
      <c r="N232" s="9"/>
      <c r="O232" s="7" t="s">
        <v>17</v>
      </c>
      <c r="P232" s="8" t="s">
        <v>438</v>
      </c>
      <c r="Q232" s="8"/>
      <c r="R232" s="8"/>
    </row>
    <row r="233" spans="2:18" ht="15" customHeight="1">
      <c r="B233" s="9" t="s">
        <v>671</v>
      </c>
      <c r="C233" s="9" t="s">
        <v>1136</v>
      </c>
      <c r="D233" s="9" t="s">
        <v>1137</v>
      </c>
      <c r="E233" s="15" t="s">
        <v>649</v>
      </c>
      <c r="F233" s="15" t="s">
        <v>650</v>
      </c>
      <c r="G233" s="9" t="s">
        <v>672</v>
      </c>
      <c r="H233" s="9" t="s">
        <v>58</v>
      </c>
      <c r="I233" s="9" t="s">
        <v>59</v>
      </c>
      <c r="J233" s="9" t="s">
        <v>1108</v>
      </c>
      <c r="K233" s="9"/>
      <c r="L233" s="9"/>
      <c r="M233" s="9" t="s">
        <v>666</v>
      </c>
      <c r="N233" s="9"/>
      <c r="O233" s="7" t="s">
        <v>17</v>
      </c>
      <c r="P233" s="8" t="s">
        <v>407</v>
      </c>
      <c r="Q233" s="8"/>
      <c r="R233" s="8"/>
    </row>
    <row r="234" spans="2:18" ht="15" customHeight="1">
      <c r="B234" s="9" t="s">
        <v>673</v>
      </c>
      <c r="C234" s="9" t="s">
        <v>1136</v>
      </c>
      <c r="D234" s="9" t="s">
        <v>1227</v>
      </c>
      <c r="E234" s="15" t="s">
        <v>649</v>
      </c>
      <c r="F234" s="15" t="s">
        <v>650</v>
      </c>
      <c r="G234" s="9" t="s">
        <v>674</v>
      </c>
      <c r="H234" s="9" t="s">
        <v>82</v>
      </c>
      <c r="I234" s="9" t="s">
        <v>83</v>
      </c>
      <c r="J234" s="9" t="s">
        <v>1116</v>
      </c>
      <c r="K234" s="9"/>
      <c r="L234" s="9"/>
      <c r="M234" s="9"/>
      <c r="N234" s="9"/>
      <c r="O234" s="7" t="s">
        <v>17</v>
      </c>
      <c r="P234" s="8" t="s">
        <v>573</v>
      </c>
      <c r="Q234" s="8"/>
      <c r="R234" s="8"/>
    </row>
    <row r="235" spans="2:18" ht="15" customHeight="1">
      <c r="B235" s="9" t="s">
        <v>675</v>
      </c>
      <c r="C235" s="9" t="s">
        <v>1136</v>
      </c>
      <c r="D235" s="9" t="s">
        <v>1137</v>
      </c>
      <c r="E235" s="15" t="s">
        <v>649</v>
      </c>
      <c r="F235" s="15" t="s">
        <v>650</v>
      </c>
      <c r="G235" s="9" t="s">
        <v>676</v>
      </c>
      <c r="H235" s="9" t="s">
        <v>58</v>
      </c>
      <c r="I235" s="9" t="s">
        <v>59</v>
      </c>
      <c r="J235" s="9" t="s">
        <v>1108</v>
      </c>
      <c r="K235" s="9"/>
      <c r="L235" s="9"/>
      <c r="M235" s="9"/>
      <c r="N235" s="9"/>
      <c r="O235" s="7" t="s">
        <v>17</v>
      </c>
      <c r="P235" s="8" t="s">
        <v>407</v>
      </c>
      <c r="Q235" s="8"/>
      <c r="R235" s="8"/>
    </row>
    <row r="236" spans="2:18" ht="15" customHeight="1">
      <c r="B236" s="9" t="s">
        <v>685</v>
      </c>
      <c r="C236" s="9" t="s">
        <v>1136</v>
      </c>
      <c r="D236" s="9"/>
      <c r="E236" s="15" t="s">
        <v>686</v>
      </c>
      <c r="F236" s="15" t="s">
        <v>687</v>
      </c>
      <c r="G236" s="9" t="s">
        <v>688</v>
      </c>
      <c r="H236" s="9" t="s">
        <v>58</v>
      </c>
      <c r="I236" s="9" t="s">
        <v>201</v>
      </c>
      <c r="J236" s="9"/>
      <c r="K236" s="9"/>
      <c r="L236" s="9"/>
      <c r="M236" s="9"/>
      <c r="N236" s="9"/>
      <c r="O236" s="7" t="s">
        <v>17</v>
      </c>
      <c r="P236" s="8" t="s">
        <v>443</v>
      </c>
      <c r="Q236" s="8"/>
      <c r="R236" s="8"/>
    </row>
    <row r="237" spans="2:18" ht="15" customHeight="1">
      <c r="B237" s="9" t="s">
        <v>695</v>
      </c>
      <c r="C237" s="9" t="s">
        <v>1136</v>
      </c>
      <c r="D237" s="9"/>
      <c r="E237" s="15" t="s">
        <v>686</v>
      </c>
      <c r="F237" s="15" t="s">
        <v>687</v>
      </c>
      <c r="G237" s="9" t="s">
        <v>1283</v>
      </c>
      <c r="H237" s="9" t="s">
        <v>31</v>
      </c>
      <c r="I237" s="9" t="s">
        <v>32</v>
      </c>
      <c r="J237" s="9" t="s">
        <v>1108</v>
      </c>
      <c r="K237" s="9"/>
      <c r="L237" s="9" t="s">
        <v>1284</v>
      </c>
      <c r="M237" s="9"/>
      <c r="N237" s="9"/>
      <c r="O237" s="7" t="s">
        <v>17</v>
      </c>
      <c r="P237" s="8" t="s">
        <v>28</v>
      </c>
      <c r="Q237" s="8"/>
      <c r="R237" s="8"/>
    </row>
    <row r="238" spans="2:18" ht="15" customHeight="1">
      <c r="B238" s="9" t="s">
        <v>698</v>
      </c>
      <c r="C238" s="9" t="s">
        <v>1136</v>
      </c>
      <c r="D238" s="9" t="s">
        <v>1137</v>
      </c>
      <c r="E238" s="15" t="s">
        <v>686</v>
      </c>
      <c r="F238" s="15" t="s">
        <v>687</v>
      </c>
      <c r="G238" s="9" t="s">
        <v>1285</v>
      </c>
      <c r="H238" s="9" t="s">
        <v>58</v>
      </c>
      <c r="I238" s="9" t="s">
        <v>201</v>
      </c>
      <c r="J238" s="9" t="s">
        <v>1116</v>
      </c>
      <c r="K238" s="9"/>
      <c r="L238" s="9"/>
      <c r="M238" s="9"/>
      <c r="N238" s="9"/>
      <c r="O238" s="7" t="s">
        <v>17</v>
      </c>
      <c r="P238" s="8" t="s">
        <v>530</v>
      </c>
      <c r="Q238" s="8"/>
      <c r="R238" s="8"/>
    </row>
    <row r="239" spans="2:18" ht="15" customHeight="1">
      <c r="B239" s="9" t="s">
        <v>1286</v>
      </c>
      <c r="C239" s="9" t="s">
        <v>1136</v>
      </c>
      <c r="D239" s="9" t="s">
        <v>1137</v>
      </c>
      <c r="E239" s="15" t="s">
        <v>686</v>
      </c>
      <c r="F239" s="15" t="s">
        <v>687</v>
      </c>
      <c r="G239" s="9" t="s">
        <v>1287</v>
      </c>
      <c r="H239" s="9" t="s">
        <v>58</v>
      </c>
      <c r="I239" s="9" t="s">
        <v>59</v>
      </c>
      <c r="J239" s="9" t="s">
        <v>1108</v>
      </c>
      <c r="K239" s="9"/>
      <c r="L239" s="9"/>
      <c r="M239" s="9"/>
      <c r="N239" s="9"/>
      <c r="O239" s="7" t="s">
        <v>17</v>
      </c>
      <c r="P239" s="8" t="s">
        <v>407</v>
      </c>
      <c r="Q239" s="8"/>
      <c r="R239" s="8"/>
    </row>
    <row r="240" spans="2:18" ht="15" customHeight="1">
      <c r="B240" s="9" t="s">
        <v>1288</v>
      </c>
      <c r="C240" s="9" t="s">
        <v>1136</v>
      </c>
      <c r="D240" s="9" t="s">
        <v>1137</v>
      </c>
      <c r="E240" s="15" t="s">
        <v>686</v>
      </c>
      <c r="F240" s="15" t="s">
        <v>687</v>
      </c>
      <c r="G240" s="9" t="s">
        <v>1289</v>
      </c>
      <c r="H240" s="9" t="s">
        <v>58</v>
      </c>
      <c r="I240" s="9" t="s">
        <v>59</v>
      </c>
      <c r="J240" s="9" t="s">
        <v>1108</v>
      </c>
      <c r="K240" s="9"/>
      <c r="L240" s="9"/>
      <c r="M240" s="9"/>
      <c r="N240" s="9"/>
      <c r="O240" s="7" t="s">
        <v>17</v>
      </c>
      <c r="P240" s="8" t="s">
        <v>407</v>
      </c>
      <c r="Q240" s="8"/>
      <c r="R240" s="8"/>
    </row>
    <row r="241" spans="2:18" ht="15" customHeight="1">
      <c r="B241" s="9" t="s">
        <v>701</v>
      </c>
      <c r="C241" s="9" t="s">
        <v>1136</v>
      </c>
      <c r="D241" s="9"/>
      <c r="E241" s="15" t="s">
        <v>702</v>
      </c>
      <c r="F241" s="15" t="s">
        <v>703</v>
      </c>
      <c r="G241" s="9" t="s">
        <v>1290</v>
      </c>
      <c r="H241" s="9" t="s">
        <v>58</v>
      </c>
      <c r="I241" s="9" t="s">
        <v>201</v>
      </c>
      <c r="J241" s="9"/>
      <c r="K241" s="9"/>
      <c r="L241" s="9"/>
      <c r="M241" s="9"/>
      <c r="N241" s="9"/>
      <c r="O241" s="7" t="s">
        <v>17</v>
      </c>
      <c r="P241" s="8" t="s">
        <v>443</v>
      </c>
      <c r="Q241" s="8"/>
      <c r="R241" s="8"/>
    </row>
    <row r="242" spans="2:18" s="21" customFormat="1" ht="15" customHeight="1">
      <c r="B242" s="22" t="s">
        <v>1291</v>
      </c>
      <c r="C242" s="22" t="s">
        <v>1136</v>
      </c>
      <c r="D242" s="23" t="s">
        <v>1137</v>
      </c>
      <c r="E242" s="24" t="s">
        <v>702</v>
      </c>
      <c r="F242" s="24" t="s">
        <v>703</v>
      </c>
      <c r="G242" s="9" t="s">
        <v>1292</v>
      </c>
      <c r="H242" s="23" t="s">
        <v>58</v>
      </c>
      <c r="I242" s="23" t="s">
        <v>59</v>
      </c>
      <c r="J242" s="9" t="s">
        <v>1108</v>
      </c>
      <c r="K242" s="23"/>
      <c r="L242" s="23"/>
      <c r="M242" s="23"/>
      <c r="N242" s="23"/>
      <c r="O242" s="7" t="s">
        <v>17</v>
      </c>
      <c r="P242" s="8" t="s">
        <v>407</v>
      </c>
      <c r="Q242" s="8"/>
      <c r="R242" s="8"/>
    </row>
    <row r="243" spans="2:18" ht="15" customHeight="1">
      <c r="B243" s="25" t="s">
        <v>711</v>
      </c>
      <c r="C243" s="25" t="s">
        <v>1136</v>
      </c>
      <c r="D243" s="9" t="s">
        <v>1137</v>
      </c>
      <c r="E243" s="15" t="s">
        <v>702</v>
      </c>
      <c r="F243" s="15" t="s">
        <v>703</v>
      </c>
      <c r="G243" s="9" t="s">
        <v>1293</v>
      </c>
      <c r="H243" s="9" t="s">
        <v>58</v>
      </c>
      <c r="I243" s="9" t="s">
        <v>59</v>
      </c>
      <c r="J243" s="9" t="s">
        <v>1108</v>
      </c>
      <c r="K243" s="9"/>
      <c r="L243" s="9"/>
      <c r="M243" s="9"/>
      <c r="N243" s="9"/>
      <c r="O243" s="7" t="s">
        <v>17</v>
      </c>
      <c r="P243" s="8" t="s">
        <v>407</v>
      </c>
      <c r="Q243" s="8"/>
      <c r="R243" s="8"/>
    </row>
    <row r="244" spans="2:18" ht="15" customHeight="1">
      <c r="B244" s="25" t="s">
        <v>719</v>
      </c>
      <c r="C244" s="25" t="s">
        <v>1136</v>
      </c>
      <c r="D244" s="9" t="s">
        <v>1137</v>
      </c>
      <c r="E244" s="15" t="s">
        <v>702</v>
      </c>
      <c r="F244" s="15" t="s">
        <v>703</v>
      </c>
      <c r="G244" s="9" t="s">
        <v>720</v>
      </c>
      <c r="H244" s="9" t="s">
        <v>58</v>
      </c>
      <c r="I244" s="9" t="s">
        <v>59</v>
      </c>
      <c r="J244" s="9" t="s">
        <v>1108</v>
      </c>
      <c r="K244" s="9"/>
      <c r="L244" s="9"/>
      <c r="M244" s="9"/>
      <c r="N244" s="9"/>
      <c r="O244" s="7" t="s">
        <v>17</v>
      </c>
      <c r="P244" s="8" t="s">
        <v>721</v>
      </c>
      <c r="Q244" s="8"/>
      <c r="R244" s="8"/>
    </row>
    <row r="245" spans="2:18" ht="15" customHeight="1">
      <c r="B245" s="25" t="s">
        <v>722</v>
      </c>
      <c r="C245" s="25" t="s">
        <v>1136</v>
      </c>
      <c r="D245" s="9" t="s">
        <v>1137</v>
      </c>
      <c r="E245" s="15" t="s">
        <v>702</v>
      </c>
      <c r="F245" s="15" t="s">
        <v>703</v>
      </c>
      <c r="G245" s="9" t="s">
        <v>1294</v>
      </c>
      <c r="H245" s="9" t="s">
        <v>58</v>
      </c>
      <c r="I245" s="9" t="s">
        <v>59</v>
      </c>
      <c r="J245" s="9" t="s">
        <v>1108</v>
      </c>
      <c r="K245" s="9"/>
      <c r="L245" s="9"/>
      <c r="M245" s="9"/>
      <c r="N245" s="9"/>
      <c r="O245" s="10" t="s">
        <v>183</v>
      </c>
      <c r="P245" s="8" t="s">
        <v>1266</v>
      </c>
      <c r="Q245" s="8"/>
      <c r="R245" s="8"/>
    </row>
    <row r="246" spans="2:18" ht="15" customHeight="1">
      <c r="B246" s="25" t="s">
        <v>724</v>
      </c>
      <c r="C246" s="25" t="s">
        <v>1136</v>
      </c>
      <c r="D246" s="9" t="s">
        <v>1227</v>
      </c>
      <c r="E246" s="15" t="s">
        <v>702</v>
      </c>
      <c r="F246" s="15" t="s">
        <v>703</v>
      </c>
      <c r="G246" s="9" t="s">
        <v>1295</v>
      </c>
      <c r="H246" s="9" t="s">
        <v>82</v>
      </c>
      <c r="I246" s="9" t="s">
        <v>83</v>
      </c>
      <c r="J246" s="9" t="s">
        <v>1116</v>
      </c>
      <c r="K246" s="9"/>
      <c r="L246" s="9"/>
      <c r="M246" s="9"/>
      <c r="N246" s="9"/>
      <c r="O246" s="7" t="s">
        <v>17</v>
      </c>
      <c r="P246" s="8" t="s">
        <v>504</v>
      </c>
      <c r="Q246" s="8"/>
      <c r="R246" s="8"/>
    </row>
    <row r="247" spans="2:18" ht="15" customHeight="1">
      <c r="B247" s="25" t="s">
        <v>727</v>
      </c>
      <c r="C247" s="25" t="s">
        <v>1136</v>
      </c>
      <c r="D247" s="9" t="s">
        <v>1227</v>
      </c>
      <c r="E247" s="15" t="s">
        <v>702</v>
      </c>
      <c r="F247" s="15" t="s">
        <v>703</v>
      </c>
      <c r="G247" s="9" t="s">
        <v>1296</v>
      </c>
      <c r="H247" s="9" t="s">
        <v>82</v>
      </c>
      <c r="I247" s="9" t="s">
        <v>83</v>
      </c>
      <c r="J247" s="9" t="s">
        <v>1116</v>
      </c>
      <c r="K247" s="9"/>
      <c r="L247" s="9"/>
      <c r="M247" s="9"/>
      <c r="N247" s="9"/>
      <c r="O247" s="7" t="s">
        <v>17</v>
      </c>
      <c r="P247" s="8" t="s">
        <v>504</v>
      </c>
      <c r="Q247" s="8"/>
      <c r="R247" s="8"/>
    </row>
    <row r="248" spans="2:18" ht="15" customHeight="1">
      <c r="B248" s="25" t="s">
        <v>1297</v>
      </c>
      <c r="C248" s="25" t="s">
        <v>1136</v>
      </c>
      <c r="D248" s="25"/>
      <c r="E248" s="15" t="s">
        <v>702</v>
      </c>
      <c r="F248" s="15" t="s">
        <v>703</v>
      </c>
      <c r="G248" s="9" t="s">
        <v>1298</v>
      </c>
      <c r="H248" s="9" t="s">
        <v>58</v>
      </c>
      <c r="I248" s="9" t="s">
        <v>32</v>
      </c>
      <c r="J248" s="9"/>
      <c r="K248" s="9"/>
      <c r="L248" s="9"/>
      <c r="M248" s="9" t="s">
        <v>1299</v>
      </c>
      <c r="N248" s="9"/>
      <c r="O248" s="7" t="s">
        <v>17</v>
      </c>
      <c r="P248" s="8" t="s">
        <v>60</v>
      </c>
      <c r="Q248" s="8"/>
      <c r="R248" s="8"/>
    </row>
    <row r="249" spans="2:18" ht="15" customHeight="1">
      <c r="B249" s="25" t="s">
        <v>1300</v>
      </c>
      <c r="C249" s="9" t="s">
        <v>1118</v>
      </c>
      <c r="D249" s="9" t="s">
        <v>1224</v>
      </c>
      <c r="E249" s="15" t="s">
        <v>702</v>
      </c>
      <c r="F249" s="15" t="s">
        <v>703</v>
      </c>
      <c r="G249" s="9" t="s">
        <v>728</v>
      </c>
      <c r="H249" s="9" t="s">
        <v>58</v>
      </c>
      <c r="I249" s="9" t="s">
        <v>32</v>
      </c>
      <c r="J249" s="9" t="s">
        <v>1108</v>
      </c>
      <c r="K249" s="9"/>
      <c r="L249" s="9"/>
      <c r="M249" s="9" t="s">
        <v>1299</v>
      </c>
      <c r="N249" s="9"/>
      <c r="O249" s="7" t="s">
        <v>17</v>
      </c>
      <c r="P249" s="8" t="s">
        <v>60</v>
      </c>
      <c r="Q249" s="8"/>
      <c r="R249" s="8"/>
    </row>
    <row r="250" spans="2:18" ht="15" customHeight="1">
      <c r="B250" s="25" t="s">
        <v>1301</v>
      </c>
      <c r="C250" s="25" t="s">
        <v>1136</v>
      </c>
      <c r="D250" s="9" t="s">
        <v>1137</v>
      </c>
      <c r="E250" s="15" t="s">
        <v>702</v>
      </c>
      <c r="F250" s="15" t="s">
        <v>703</v>
      </c>
      <c r="G250" s="9" t="s">
        <v>1302</v>
      </c>
      <c r="H250" s="9" t="s">
        <v>58</v>
      </c>
      <c r="I250" s="9" t="s">
        <v>59</v>
      </c>
      <c r="J250" s="9" t="s">
        <v>1108</v>
      </c>
      <c r="K250" s="9"/>
      <c r="L250" s="9"/>
      <c r="M250" s="9"/>
      <c r="N250" s="9"/>
      <c r="O250" s="7" t="s">
        <v>17</v>
      </c>
      <c r="P250" s="8" t="s">
        <v>407</v>
      </c>
      <c r="Q250" s="8"/>
      <c r="R250" s="8"/>
    </row>
    <row r="251" spans="2:18" ht="15" customHeight="1">
      <c r="B251" s="9" t="s">
        <v>730</v>
      </c>
      <c r="C251" s="9" t="s">
        <v>1136</v>
      </c>
      <c r="D251" s="9"/>
      <c r="E251" s="26" t="s">
        <v>731</v>
      </c>
      <c r="F251" s="15" t="s">
        <v>732</v>
      </c>
      <c r="G251" s="9" t="s">
        <v>1303</v>
      </c>
      <c r="H251" s="9" t="s">
        <v>58</v>
      </c>
      <c r="I251" s="9" t="s">
        <v>201</v>
      </c>
      <c r="J251" s="9"/>
      <c r="K251" s="9"/>
      <c r="L251" s="9"/>
      <c r="M251" s="9"/>
      <c r="N251" s="9"/>
      <c r="O251" s="7" t="s">
        <v>17</v>
      </c>
      <c r="P251" s="8" t="s">
        <v>443</v>
      </c>
      <c r="Q251" s="8"/>
      <c r="R251" s="8"/>
    </row>
    <row r="252" spans="2:18" ht="15" customHeight="1">
      <c r="B252" s="9" t="s">
        <v>734</v>
      </c>
      <c r="C252" s="9" t="s">
        <v>1136</v>
      </c>
      <c r="D252" s="9"/>
      <c r="E252" s="26" t="s">
        <v>731</v>
      </c>
      <c r="F252" s="15" t="s">
        <v>732</v>
      </c>
      <c r="G252" s="9" t="s">
        <v>1304</v>
      </c>
      <c r="H252" s="9" t="s">
        <v>58</v>
      </c>
      <c r="I252" s="9" t="s">
        <v>201</v>
      </c>
      <c r="J252" s="9"/>
      <c r="K252" s="9"/>
      <c r="L252" s="9"/>
      <c r="M252" s="9"/>
      <c r="N252" s="9"/>
      <c r="O252" s="7" t="s">
        <v>17</v>
      </c>
      <c r="P252" s="8" t="s">
        <v>443</v>
      </c>
      <c r="Q252" s="8"/>
      <c r="R252" s="8"/>
    </row>
    <row r="253" spans="2:18" ht="15" customHeight="1">
      <c r="B253" s="9" t="s">
        <v>1305</v>
      </c>
      <c r="C253" s="9" t="s">
        <v>1136</v>
      </c>
      <c r="D253" s="9"/>
      <c r="E253" s="26" t="s">
        <v>731</v>
      </c>
      <c r="F253" s="15" t="s">
        <v>732</v>
      </c>
      <c r="G253" s="9" t="s">
        <v>1306</v>
      </c>
      <c r="H253" s="9" t="s">
        <v>31</v>
      </c>
      <c r="I253" s="9" t="s">
        <v>32</v>
      </c>
      <c r="J253" s="9" t="s">
        <v>1108</v>
      </c>
      <c r="K253" s="9"/>
      <c r="L253" s="9" t="s">
        <v>1307</v>
      </c>
      <c r="M253" s="9"/>
      <c r="N253" s="9"/>
      <c r="O253" s="7" t="s">
        <v>17</v>
      </c>
      <c r="P253" s="8" t="s">
        <v>28</v>
      </c>
      <c r="Q253" s="8"/>
      <c r="R253" s="8"/>
    </row>
    <row r="254" spans="2:18" ht="15" customHeight="1">
      <c r="B254" s="25" t="s">
        <v>740</v>
      </c>
      <c r="C254" s="25" t="s">
        <v>1136</v>
      </c>
      <c r="D254" s="9" t="s">
        <v>1137</v>
      </c>
      <c r="E254" s="26" t="s">
        <v>731</v>
      </c>
      <c r="F254" s="15" t="s">
        <v>732</v>
      </c>
      <c r="G254" s="9" t="s">
        <v>1308</v>
      </c>
      <c r="H254" s="9" t="s">
        <v>58</v>
      </c>
      <c r="I254" s="9" t="s">
        <v>59</v>
      </c>
      <c r="J254" s="9" t="s">
        <v>1108</v>
      </c>
      <c r="K254" s="9"/>
      <c r="L254" s="9"/>
      <c r="M254" s="9"/>
      <c r="N254" s="9"/>
      <c r="O254" s="7" t="s">
        <v>17</v>
      </c>
      <c r="P254" s="8" t="s">
        <v>407</v>
      </c>
      <c r="Q254" s="8"/>
      <c r="R254" s="8"/>
    </row>
    <row r="255" spans="2:18" ht="15" customHeight="1">
      <c r="B255" s="25" t="s">
        <v>742</v>
      </c>
      <c r="C255" s="25" t="s">
        <v>1136</v>
      </c>
      <c r="D255" s="9" t="s">
        <v>1137</v>
      </c>
      <c r="E255" s="26" t="s">
        <v>731</v>
      </c>
      <c r="F255" s="15" t="s">
        <v>732</v>
      </c>
      <c r="G255" s="9" t="s">
        <v>1309</v>
      </c>
      <c r="H255" s="9" t="s">
        <v>58</v>
      </c>
      <c r="I255" s="9" t="s">
        <v>59</v>
      </c>
      <c r="J255" s="9" t="s">
        <v>1108</v>
      </c>
      <c r="K255" s="9"/>
      <c r="L255" s="9"/>
      <c r="M255" s="9"/>
      <c r="N255" s="9"/>
      <c r="O255" s="7" t="s">
        <v>17</v>
      </c>
      <c r="P255" s="8" t="s">
        <v>210</v>
      </c>
      <c r="Q255" s="8"/>
      <c r="R255" s="8"/>
    </row>
    <row r="256" spans="2:18" ht="15" customHeight="1">
      <c r="B256" s="9" t="s">
        <v>748</v>
      </c>
      <c r="C256" s="9" t="s">
        <v>1136</v>
      </c>
      <c r="D256" s="9"/>
      <c r="E256" s="26" t="s">
        <v>731</v>
      </c>
      <c r="F256" s="15" t="s">
        <v>732</v>
      </c>
      <c r="G256" s="9" t="s">
        <v>749</v>
      </c>
      <c r="H256" s="9" t="s">
        <v>58</v>
      </c>
      <c r="I256" s="9" t="s">
        <v>201</v>
      </c>
      <c r="J256" s="9"/>
      <c r="K256" s="9"/>
      <c r="L256" s="9"/>
      <c r="M256" s="9"/>
      <c r="N256" s="9"/>
      <c r="O256" s="7" t="s">
        <v>17</v>
      </c>
      <c r="P256" s="8" t="s">
        <v>443</v>
      </c>
      <c r="Q256" s="8"/>
      <c r="R256" s="8"/>
    </row>
    <row r="257" spans="2:18" ht="15" customHeight="1">
      <c r="B257" s="9" t="s">
        <v>750</v>
      </c>
      <c r="C257" s="9" t="s">
        <v>1136</v>
      </c>
      <c r="D257" s="9" t="s">
        <v>1137</v>
      </c>
      <c r="E257" s="26" t="s">
        <v>731</v>
      </c>
      <c r="F257" s="15" t="s">
        <v>732</v>
      </c>
      <c r="G257" s="9" t="s">
        <v>751</v>
      </c>
      <c r="H257" s="9" t="s">
        <v>58</v>
      </c>
      <c r="I257" s="9" t="s">
        <v>59</v>
      </c>
      <c r="J257" s="9" t="s">
        <v>1108</v>
      </c>
      <c r="K257" s="9"/>
      <c r="L257" s="9"/>
      <c r="M257" s="9"/>
      <c r="N257" s="9"/>
      <c r="O257" s="7" t="s">
        <v>17</v>
      </c>
      <c r="P257" s="8" t="s">
        <v>407</v>
      </c>
      <c r="Q257" s="8"/>
      <c r="R257" s="8"/>
    </row>
    <row r="258" spans="2:18" ht="15" customHeight="1">
      <c r="B258" s="9" t="s">
        <v>752</v>
      </c>
      <c r="C258" s="9" t="s">
        <v>1136</v>
      </c>
      <c r="D258" s="9" t="s">
        <v>1137</v>
      </c>
      <c r="E258" s="26" t="s">
        <v>731</v>
      </c>
      <c r="F258" s="15" t="s">
        <v>732</v>
      </c>
      <c r="G258" s="9" t="s">
        <v>753</v>
      </c>
      <c r="H258" s="9" t="s">
        <v>58</v>
      </c>
      <c r="I258" s="9" t="s">
        <v>59</v>
      </c>
      <c r="J258" s="9" t="s">
        <v>1108</v>
      </c>
      <c r="K258" s="9"/>
      <c r="L258" s="9"/>
      <c r="M258" s="9"/>
      <c r="N258" s="9"/>
      <c r="O258" s="7" t="s">
        <v>17</v>
      </c>
      <c r="P258" s="8" t="s">
        <v>721</v>
      </c>
      <c r="Q258" s="8"/>
      <c r="R258" s="8"/>
    </row>
    <row r="259" spans="2:18" ht="15" customHeight="1">
      <c r="B259" s="9" t="s">
        <v>1310</v>
      </c>
      <c r="C259" s="9" t="s">
        <v>1136</v>
      </c>
      <c r="D259" s="9" t="s">
        <v>1227</v>
      </c>
      <c r="E259" s="26" t="s">
        <v>731</v>
      </c>
      <c r="F259" s="15" t="s">
        <v>732</v>
      </c>
      <c r="G259" s="9" t="s">
        <v>1311</v>
      </c>
      <c r="H259" s="9" t="s">
        <v>82</v>
      </c>
      <c r="I259" s="9" t="s">
        <v>1052</v>
      </c>
      <c r="J259" s="9" t="s">
        <v>1116</v>
      </c>
      <c r="K259" s="9"/>
      <c r="L259" s="9"/>
      <c r="M259" s="9"/>
      <c r="N259" s="9"/>
      <c r="O259" s="7" t="s">
        <v>17</v>
      </c>
      <c r="P259" s="8" t="s">
        <v>210</v>
      </c>
      <c r="Q259" s="8"/>
      <c r="R259" s="8"/>
    </row>
    <row r="260" spans="2:18" ht="15" customHeight="1">
      <c r="B260" s="9" t="s">
        <v>1312</v>
      </c>
      <c r="C260" s="9" t="s">
        <v>1136</v>
      </c>
      <c r="D260" s="9" t="s">
        <v>1227</v>
      </c>
      <c r="E260" s="26" t="s">
        <v>731</v>
      </c>
      <c r="F260" s="15" t="s">
        <v>732</v>
      </c>
      <c r="G260" s="9" t="s">
        <v>1313</v>
      </c>
      <c r="H260" s="9" t="s">
        <v>82</v>
      </c>
      <c r="I260" s="9" t="s">
        <v>1052</v>
      </c>
      <c r="J260" s="9" t="s">
        <v>1116</v>
      </c>
      <c r="K260" s="9"/>
      <c r="L260" s="9"/>
      <c r="M260" s="9"/>
      <c r="N260" s="9"/>
      <c r="O260" s="7" t="s">
        <v>17</v>
      </c>
      <c r="P260" s="8" t="s">
        <v>504</v>
      </c>
      <c r="Q260" s="8"/>
      <c r="R260" s="8"/>
    </row>
    <row r="261" spans="2:18" ht="15" customHeight="1">
      <c r="B261" s="9" t="s">
        <v>1314</v>
      </c>
      <c r="C261" s="9" t="s">
        <v>1136</v>
      </c>
      <c r="D261" s="9" t="s">
        <v>1227</v>
      </c>
      <c r="E261" s="26" t="s">
        <v>731</v>
      </c>
      <c r="F261" s="15" t="s">
        <v>732</v>
      </c>
      <c r="G261" s="9" t="s">
        <v>1315</v>
      </c>
      <c r="H261" s="9" t="s">
        <v>82</v>
      </c>
      <c r="I261" s="9" t="s">
        <v>1052</v>
      </c>
      <c r="J261" s="9" t="s">
        <v>1116</v>
      </c>
      <c r="K261" s="9"/>
      <c r="L261" s="9"/>
      <c r="M261" s="9"/>
      <c r="N261" s="9"/>
      <c r="O261" s="7" t="s">
        <v>17</v>
      </c>
      <c r="P261" s="8" t="s">
        <v>210</v>
      </c>
      <c r="Q261" s="8"/>
      <c r="R261" s="8"/>
    </row>
    <row r="262" spans="2:18" ht="15" customHeight="1">
      <c r="B262" s="9" t="s">
        <v>1316</v>
      </c>
      <c r="C262" s="9" t="s">
        <v>1136</v>
      </c>
      <c r="D262" s="9" t="s">
        <v>1227</v>
      </c>
      <c r="E262" s="26" t="s">
        <v>731</v>
      </c>
      <c r="F262" s="15" t="s">
        <v>732</v>
      </c>
      <c r="G262" s="9" t="s">
        <v>1317</v>
      </c>
      <c r="H262" s="9" t="s">
        <v>82</v>
      </c>
      <c r="I262" s="9" t="s">
        <v>1052</v>
      </c>
      <c r="J262" s="9" t="s">
        <v>1116</v>
      </c>
      <c r="K262" s="9"/>
      <c r="L262" s="9"/>
      <c r="M262" s="9"/>
      <c r="N262" s="9"/>
      <c r="O262" s="7" t="s">
        <v>17</v>
      </c>
      <c r="P262" s="8" t="s">
        <v>210</v>
      </c>
      <c r="Q262" s="8"/>
      <c r="R262" s="8"/>
    </row>
    <row r="263" spans="2:18" ht="15" customHeight="1">
      <c r="B263" s="9" t="s">
        <v>1049</v>
      </c>
      <c r="C263" s="9" t="s">
        <v>1118</v>
      </c>
      <c r="D263" s="9" t="s">
        <v>1119</v>
      </c>
      <c r="E263" s="26" t="s">
        <v>1318</v>
      </c>
      <c r="F263" s="15" t="s">
        <v>1050</v>
      </c>
      <c r="G263" s="9" t="s">
        <v>1319</v>
      </c>
      <c r="H263" s="9" t="s">
        <v>82</v>
      </c>
      <c r="I263" s="9" t="s">
        <v>1052</v>
      </c>
      <c r="J263" s="9" t="s">
        <v>1116</v>
      </c>
      <c r="K263" s="9"/>
      <c r="L263" s="9"/>
      <c r="M263" s="15" t="s">
        <v>1053</v>
      </c>
      <c r="N263" s="9"/>
      <c r="O263" s="7" t="s">
        <v>17</v>
      </c>
      <c r="P263" s="8" t="s">
        <v>1054</v>
      </c>
      <c r="Q263" s="8"/>
      <c r="R263" s="8"/>
    </row>
    <row r="264" spans="2:18" ht="15" customHeight="1">
      <c r="B264" s="9" t="s">
        <v>1055</v>
      </c>
      <c r="C264" s="9" t="s">
        <v>1118</v>
      </c>
      <c r="D264" s="9" t="s">
        <v>1119</v>
      </c>
      <c r="E264" s="26" t="s">
        <v>1318</v>
      </c>
      <c r="F264" s="15" t="s">
        <v>1050</v>
      </c>
      <c r="G264" s="9" t="s">
        <v>1320</v>
      </c>
      <c r="H264" s="9" t="s">
        <v>82</v>
      </c>
      <c r="I264" s="9" t="s">
        <v>1052</v>
      </c>
      <c r="J264" s="9" t="s">
        <v>1116</v>
      </c>
      <c r="K264" s="9"/>
      <c r="L264" s="9"/>
      <c r="M264" s="15"/>
      <c r="N264" s="9"/>
      <c r="O264" s="7" t="s">
        <v>17</v>
      </c>
      <c r="P264" s="8" t="s">
        <v>1054</v>
      </c>
      <c r="Q264" s="8"/>
      <c r="R264" s="8"/>
    </row>
    <row r="265" spans="2:18" ht="15" customHeight="1">
      <c r="B265" s="9" t="s">
        <v>1056</v>
      </c>
      <c r="C265" s="9" t="s">
        <v>1118</v>
      </c>
      <c r="D265" s="9" t="s">
        <v>1119</v>
      </c>
      <c r="E265" s="26" t="s">
        <v>1318</v>
      </c>
      <c r="F265" s="15" t="s">
        <v>1050</v>
      </c>
      <c r="G265" s="9" t="s">
        <v>1321</v>
      </c>
      <c r="H265" s="9" t="s">
        <v>82</v>
      </c>
      <c r="I265" s="9" t="s">
        <v>1052</v>
      </c>
      <c r="J265" s="9" t="s">
        <v>1116</v>
      </c>
      <c r="K265" s="9"/>
      <c r="L265" s="9"/>
      <c r="M265" s="15"/>
      <c r="N265" s="9"/>
      <c r="O265" s="7" t="s">
        <v>17</v>
      </c>
      <c r="P265" s="8" t="s">
        <v>1054</v>
      </c>
      <c r="Q265" s="8"/>
      <c r="R265" s="8"/>
    </row>
    <row r="266" spans="2:18" ht="15" customHeight="1">
      <c r="B266" s="9" t="s">
        <v>1322</v>
      </c>
      <c r="C266" s="9" t="s">
        <v>1118</v>
      </c>
      <c r="D266" s="9" t="s">
        <v>1119</v>
      </c>
      <c r="E266" s="26" t="s">
        <v>1318</v>
      </c>
      <c r="F266" s="15" t="s">
        <v>1050</v>
      </c>
      <c r="G266" s="9" t="s">
        <v>1323</v>
      </c>
      <c r="H266" s="9" t="s">
        <v>82</v>
      </c>
      <c r="I266" s="9" t="s">
        <v>1052</v>
      </c>
      <c r="J266" s="9" t="s">
        <v>1116</v>
      </c>
      <c r="K266" s="9"/>
      <c r="L266" s="9"/>
      <c r="M266" s="15"/>
      <c r="N266" s="9"/>
      <c r="O266" s="7" t="s">
        <v>17</v>
      </c>
      <c r="P266" s="8" t="s">
        <v>1054</v>
      </c>
      <c r="Q266" s="8"/>
      <c r="R266" s="8"/>
    </row>
    <row r="267" spans="2:18" ht="15" customHeight="1">
      <c r="B267" s="9" t="s">
        <v>1057</v>
      </c>
      <c r="C267" s="9" t="s">
        <v>1118</v>
      </c>
      <c r="D267" s="9" t="s">
        <v>1119</v>
      </c>
      <c r="E267" s="26" t="s">
        <v>1318</v>
      </c>
      <c r="F267" s="15" t="s">
        <v>1050</v>
      </c>
      <c r="G267" s="9" t="s">
        <v>1058</v>
      </c>
      <c r="H267" s="9" t="s">
        <v>82</v>
      </c>
      <c r="I267" s="9" t="s">
        <v>1052</v>
      </c>
      <c r="J267" s="9" t="s">
        <v>1116</v>
      </c>
      <c r="K267" s="9"/>
      <c r="L267" s="9"/>
      <c r="M267" s="15" t="s">
        <v>1059</v>
      </c>
      <c r="N267" s="9"/>
      <c r="O267" s="7" t="s">
        <v>17</v>
      </c>
      <c r="P267" s="8" t="s">
        <v>1054</v>
      </c>
      <c r="Q267" s="8"/>
      <c r="R267" s="8"/>
    </row>
    <row r="268" spans="2:18" ht="15" customHeight="1">
      <c r="B268" s="9" t="s">
        <v>1060</v>
      </c>
      <c r="C268" s="9" t="s">
        <v>1118</v>
      </c>
      <c r="D268" s="9" t="s">
        <v>1119</v>
      </c>
      <c r="E268" s="26" t="s">
        <v>1318</v>
      </c>
      <c r="F268" s="15" t="s">
        <v>1050</v>
      </c>
      <c r="G268" s="9" t="s">
        <v>1061</v>
      </c>
      <c r="H268" s="9" t="s">
        <v>82</v>
      </c>
      <c r="I268" s="9" t="s">
        <v>1052</v>
      </c>
      <c r="J268" s="9" t="s">
        <v>1116</v>
      </c>
      <c r="K268" s="9"/>
      <c r="L268" s="9"/>
      <c r="M268" s="15"/>
      <c r="N268" s="9"/>
      <c r="O268" s="7" t="s">
        <v>17</v>
      </c>
      <c r="P268" s="8" t="s">
        <v>1054</v>
      </c>
      <c r="Q268" s="8"/>
      <c r="R268" s="8"/>
    </row>
    <row r="269" spans="2:18" ht="15" customHeight="1">
      <c r="B269" s="9" t="s">
        <v>1062</v>
      </c>
      <c r="C269" s="9" t="s">
        <v>1118</v>
      </c>
      <c r="D269" s="9" t="s">
        <v>1119</v>
      </c>
      <c r="E269" s="26" t="s">
        <v>1318</v>
      </c>
      <c r="F269" s="15" t="s">
        <v>1050</v>
      </c>
      <c r="G269" s="9" t="s">
        <v>1063</v>
      </c>
      <c r="H269" s="9" t="s">
        <v>82</v>
      </c>
      <c r="I269" s="9" t="s">
        <v>1052</v>
      </c>
      <c r="J269" s="9" t="s">
        <v>1116</v>
      </c>
      <c r="K269" s="9"/>
      <c r="L269" s="9"/>
      <c r="M269" s="15"/>
      <c r="N269" s="9"/>
      <c r="O269" s="7" t="s">
        <v>17</v>
      </c>
      <c r="P269" s="8" t="s">
        <v>1054</v>
      </c>
      <c r="Q269" s="8"/>
      <c r="R269" s="8"/>
    </row>
    <row r="270" spans="2:18" ht="15" customHeight="1">
      <c r="B270" s="9" t="s">
        <v>1064</v>
      </c>
      <c r="C270" s="9" t="s">
        <v>1118</v>
      </c>
      <c r="D270" s="9" t="s">
        <v>1119</v>
      </c>
      <c r="E270" s="26" t="s">
        <v>1318</v>
      </c>
      <c r="F270" s="15" t="s">
        <v>1050</v>
      </c>
      <c r="G270" s="9" t="s">
        <v>1065</v>
      </c>
      <c r="H270" s="9" t="s">
        <v>82</v>
      </c>
      <c r="I270" s="9" t="s">
        <v>1052</v>
      </c>
      <c r="J270" s="9" t="s">
        <v>1116</v>
      </c>
      <c r="K270" s="9"/>
      <c r="L270" s="9"/>
      <c r="M270" s="15"/>
      <c r="N270" s="9"/>
      <c r="O270" s="7" t="s">
        <v>17</v>
      </c>
      <c r="P270" s="8" t="s">
        <v>1054</v>
      </c>
      <c r="Q270" s="8"/>
      <c r="R270" s="8"/>
    </row>
    <row r="271" spans="2:18" ht="15" customHeight="1">
      <c r="B271" s="9" t="s">
        <v>1066</v>
      </c>
      <c r="C271" s="9" t="s">
        <v>1118</v>
      </c>
      <c r="D271" s="9" t="s">
        <v>1119</v>
      </c>
      <c r="E271" s="26" t="s">
        <v>1318</v>
      </c>
      <c r="F271" s="15" t="s">
        <v>1050</v>
      </c>
      <c r="G271" s="9" t="s">
        <v>1067</v>
      </c>
      <c r="H271" s="9" t="s">
        <v>82</v>
      </c>
      <c r="I271" s="9" t="s">
        <v>1052</v>
      </c>
      <c r="J271" s="9" t="s">
        <v>1116</v>
      </c>
      <c r="K271" s="9"/>
      <c r="L271" s="9"/>
      <c r="M271" s="15"/>
      <c r="N271" s="9"/>
      <c r="O271" s="7" t="s">
        <v>17</v>
      </c>
      <c r="P271" s="8" t="s">
        <v>1054</v>
      </c>
      <c r="Q271" s="8"/>
      <c r="R271" s="8"/>
    </row>
    <row r="272" spans="2:18" ht="15" customHeight="1">
      <c r="B272" s="9" t="s">
        <v>1068</v>
      </c>
      <c r="C272" s="9" t="s">
        <v>1118</v>
      </c>
      <c r="D272" s="9" t="s">
        <v>1119</v>
      </c>
      <c r="E272" s="26" t="s">
        <v>1318</v>
      </c>
      <c r="F272" s="15" t="s">
        <v>1050</v>
      </c>
      <c r="G272" s="9" t="s">
        <v>1069</v>
      </c>
      <c r="H272" s="9" t="s">
        <v>82</v>
      </c>
      <c r="I272" s="9" t="s">
        <v>1052</v>
      </c>
      <c r="J272" s="9" t="s">
        <v>1116</v>
      </c>
      <c r="K272" s="9"/>
      <c r="L272" s="9"/>
      <c r="M272" s="15"/>
      <c r="N272" s="9"/>
      <c r="O272" s="7" t="s">
        <v>17</v>
      </c>
      <c r="P272" s="8" t="s">
        <v>1054</v>
      </c>
      <c r="Q272" s="8"/>
      <c r="R272" s="8"/>
    </row>
    <row r="273" spans="2:18" ht="15" customHeight="1">
      <c r="B273" s="9" t="s">
        <v>1070</v>
      </c>
      <c r="C273" s="9" t="s">
        <v>1118</v>
      </c>
      <c r="D273" s="9" t="s">
        <v>1119</v>
      </c>
      <c r="E273" s="26" t="s">
        <v>1318</v>
      </c>
      <c r="F273" s="15" t="s">
        <v>1050</v>
      </c>
      <c r="G273" s="9" t="s">
        <v>1071</v>
      </c>
      <c r="H273" s="9" t="s">
        <v>82</v>
      </c>
      <c r="I273" s="9" t="s">
        <v>1052</v>
      </c>
      <c r="J273" s="9" t="s">
        <v>1116</v>
      </c>
      <c r="K273" s="9"/>
      <c r="L273" s="9"/>
      <c r="M273" s="15"/>
      <c r="N273" s="9"/>
      <c r="O273" s="7" t="s">
        <v>17</v>
      </c>
      <c r="P273" s="8" t="s">
        <v>1054</v>
      </c>
      <c r="Q273" s="8"/>
      <c r="R273" s="8"/>
    </row>
    <row r="274" spans="2:18" ht="15" customHeight="1">
      <c r="B274" s="9" t="s">
        <v>1324</v>
      </c>
      <c r="C274" s="9" t="s">
        <v>1118</v>
      </c>
      <c r="D274" s="9" t="s">
        <v>1119</v>
      </c>
      <c r="E274" s="26" t="s">
        <v>1318</v>
      </c>
      <c r="F274" s="15" t="s">
        <v>1050</v>
      </c>
      <c r="G274" s="9" t="s">
        <v>1325</v>
      </c>
      <c r="H274" s="9" t="s">
        <v>82</v>
      </c>
      <c r="I274" s="9" t="s">
        <v>1052</v>
      </c>
      <c r="J274" s="9" t="s">
        <v>1116</v>
      </c>
      <c r="K274" s="9"/>
      <c r="L274" s="9"/>
      <c r="M274" s="15"/>
      <c r="N274" s="9"/>
      <c r="O274" s="7" t="s">
        <v>17</v>
      </c>
      <c r="P274" s="8" t="s">
        <v>1054</v>
      </c>
      <c r="Q274" s="8"/>
      <c r="R274" s="8"/>
    </row>
    <row r="275" spans="2:18" ht="15" customHeight="1">
      <c r="B275" s="9" t="s">
        <v>1072</v>
      </c>
      <c r="C275" s="9" t="s">
        <v>1118</v>
      </c>
      <c r="D275" s="9" t="s">
        <v>1119</v>
      </c>
      <c r="E275" s="26" t="s">
        <v>1318</v>
      </c>
      <c r="F275" s="15" t="s">
        <v>1050</v>
      </c>
      <c r="G275" s="9" t="s">
        <v>1073</v>
      </c>
      <c r="H275" s="9" t="s">
        <v>82</v>
      </c>
      <c r="I275" s="9" t="s">
        <v>1052</v>
      </c>
      <c r="J275" s="9" t="s">
        <v>1116</v>
      </c>
      <c r="K275" s="9"/>
      <c r="L275" s="9"/>
      <c r="M275" s="15"/>
      <c r="N275" s="9"/>
      <c r="O275" s="7" t="s">
        <v>17</v>
      </c>
      <c r="P275" s="8" t="s">
        <v>1054</v>
      </c>
      <c r="Q275" s="8"/>
      <c r="R275" s="8"/>
    </row>
    <row r="276" spans="2:18" ht="15" customHeight="1">
      <c r="B276" s="9" t="s">
        <v>1074</v>
      </c>
      <c r="C276" s="9" t="s">
        <v>1118</v>
      </c>
      <c r="D276" s="9" t="s">
        <v>1119</v>
      </c>
      <c r="E276" s="26" t="s">
        <v>1318</v>
      </c>
      <c r="F276" s="15" t="s">
        <v>1050</v>
      </c>
      <c r="G276" s="9" t="s">
        <v>1075</v>
      </c>
      <c r="H276" s="9" t="s">
        <v>82</v>
      </c>
      <c r="I276" s="9" t="s">
        <v>1052</v>
      </c>
      <c r="J276" s="9" t="s">
        <v>1116</v>
      </c>
      <c r="K276" s="9"/>
      <c r="L276" s="9"/>
      <c r="M276" s="15"/>
      <c r="N276" s="9"/>
      <c r="O276" s="7" t="s">
        <v>17</v>
      </c>
      <c r="P276" s="8" t="s">
        <v>1054</v>
      </c>
      <c r="Q276" s="8"/>
      <c r="R276" s="8"/>
    </row>
    <row r="277" spans="2:18" ht="15" customHeight="1">
      <c r="B277" s="9" t="s">
        <v>1076</v>
      </c>
      <c r="C277" s="9" t="s">
        <v>1118</v>
      </c>
      <c r="D277" s="9" t="s">
        <v>1119</v>
      </c>
      <c r="E277" s="26" t="s">
        <v>1318</v>
      </c>
      <c r="F277" s="15" t="s">
        <v>1050</v>
      </c>
      <c r="G277" s="9" t="s">
        <v>1077</v>
      </c>
      <c r="H277" s="9" t="s">
        <v>82</v>
      </c>
      <c r="I277" s="9" t="s">
        <v>1052</v>
      </c>
      <c r="J277" s="9" t="s">
        <v>1116</v>
      </c>
      <c r="K277" s="9"/>
      <c r="L277" s="9"/>
      <c r="M277" s="15"/>
      <c r="N277" s="9"/>
      <c r="O277" s="7" t="s">
        <v>17</v>
      </c>
      <c r="P277" s="8" t="s">
        <v>1054</v>
      </c>
      <c r="Q277" s="8"/>
      <c r="R277" s="8"/>
    </row>
    <row r="278" spans="2:18" ht="15" customHeight="1">
      <c r="B278" s="9" t="s">
        <v>1078</v>
      </c>
      <c r="C278" s="9" t="s">
        <v>1118</v>
      </c>
      <c r="D278" s="9" t="s">
        <v>1119</v>
      </c>
      <c r="E278" s="26" t="s">
        <v>1318</v>
      </c>
      <c r="F278" s="15" t="s">
        <v>1050</v>
      </c>
      <c r="G278" s="9" t="s">
        <v>1079</v>
      </c>
      <c r="H278" s="9" t="s">
        <v>82</v>
      </c>
      <c r="I278" s="9" t="s">
        <v>1052</v>
      </c>
      <c r="J278" s="9" t="s">
        <v>1116</v>
      </c>
      <c r="K278" s="9"/>
      <c r="L278" s="9"/>
      <c r="M278" s="15" t="s">
        <v>1080</v>
      </c>
      <c r="N278" s="9"/>
      <c r="O278" s="7" t="s">
        <v>17</v>
      </c>
      <c r="P278" s="8" t="s">
        <v>1054</v>
      </c>
      <c r="Q278" s="8"/>
      <c r="R278" s="8"/>
    </row>
    <row r="279" spans="2:18" ht="15" customHeight="1">
      <c r="B279" s="9" t="s">
        <v>1081</v>
      </c>
      <c r="C279" s="9" t="s">
        <v>1118</v>
      </c>
      <c r="D279" s="9" t="s">
        <v>1119</v>
      </c>
      <c r="E279" s="26" t="s">
        <v>1318</v>
      </c>
      <c r="F279" s="15" t="s">
        <v>1050</v>
      </c>
      <c r="G279" s="9" t="s">
        <v>1082</v>
      </c>
      <c r="H279" s="9" t="s">
        <v>82</v>
      </c>
      <c r="I279" s="9" t="s">
        <v>1052</v>
      </c>
      <c r="J279" s="9" t="s">
        <v>1116</v>
      </c>
      <c r="K279" s="9"/>
      <c r="L279" s="9"/>
      <c r="M279" s="15"/>
      <c r="N279" s="9"/>
      <c r="O279" s="7" t="s">
        <v>17</v>
      </c>
      <c r="P279" s="8" t="s">
        <v>1054</v>
      </c>
      <c r="Q279" s="8"/>
      <c r="R279" s="8"/>
    </row>
    <row r="280" spans="2:18" ht="15" customHeight="1">
      <c r="B280" s="9" t="s">
        <v>1083</v>
      </c>
      <c r="C280" s="9" t="s">
        <v>1118</v>
      </c>
      <c r="D280" s="9" t="s">
        <v>1119</v>
      </c>
      <c r="E280" s="26" t="s">
        <v>1318</v>
      </c>
      <c r="F280" s="15" t="s">
        <v>1050</v>
      </c>
      <c r="G280" s="9" t="s">
        <v>1084</v>
      </c>
      <c r="H280" s="9" t="s">
        <v>82</v>
      </c>
      <c r="I280" s="9" t="s">
        <v>1052</v>
      </c>
      <c r="J280" s="9" t="s">
        <v>1116</v>
      </c>
      <c r="K280" s="9"/>
      <c r="L280" s="9"/>
      <c r="M280" s="15" t="s">
        <v>1085</v>
      </c>
      <c r="N280" s="9"/>
      <c r="O280" s="7" t="s">
        <v>17</v>
      </c>
      <c r="P280" s="8" t="s">
        <v>573</v>
      </c>
      <c r="Q280" s="8"/>
      <c r="R280" s="8"/>
    </row>
    <row r="281" spans="2:18" ht="15" customHeight="1">
      <c r="B281" s="9" t="s">
        <v>1086</v>
      </c>
      <c r="C281" s="9" t="s">
        <v>1118</v>
      </c>
      <c r="D281" s="9" t="s">
        <v>1119</v>
      </c>
      <c r="E281" s="26" t="s">
        <v>1318</v>
      </c>
      <c r="F281" s="15" t="s">
        <v>1050</v>
      </c>
      <c r="G281" s="9" t="s">
        <v>1084</v>
      </c>
      <c r="H281" s="9" t="s">
        <v>82</v>
      </c>
      <c r="I281" s="9" t="s">
        <v>1052</v>
      </c>
      <c r="J281" s="9" t="s">
        <v>1116</v>
      </c>
      <c r="K281" s="9"/>
      <c r="L281" s="9"/>
      <c r="M281" s="15"/>
      <c r="N281" s="9"/>
      <c r="O281" s="7" t="s">
        <v>17</v>
      </c>
      <c r="P281" s="8" t="s">
        <v>573</v>
      </c>
      <c r="Q281" s="8"/>
      <c r="R281" s="8"/>
    </row>
    <row r="282" spans="2:18" ht="15" customHeight="1">
      <c r="B282" s="9" t="s">
        <v>1087</v>
      </c>
      <c r="C282" s="9" t="s">
        <v>1118</v>
      </c>
      <c r="D282" s="9" t="s">
        <v>1119</v>
      </c>
      <c r="E282" s="26" t="s">
        <v>1318</v>
      </c>
      <c r="F282" s="15" t="s">
        <v>1050</v>
      </c>
      <c r="G282" s="9" t="s">
        <v>1088</v>
      </c>
      <c r="H282" s="9" t="s">
        <v>82</v>
      </c>
      <c r="I282" s="9" t="s">
        <v>1052</v>
      </c>
      <c r="J282" s="9" t="s">
        <v>1116</v>
      </c>
      <c r="K282" s="9"/>
      <c r="L282" s="9"/>
      <c r="M282" s="15" t="s">
        <v>1089</v>
      </c>
      <c r="N282" s="9"/>
      <c r="O282" s="7" t="s">
        <v>17</v>
      </c>
      <c r="P282" s="8" t="s">
        <v>1054</v>
      </c>
      <c r="Q282" s="8"/>
      <c r="R282" s="8"/>
    </row>
    <row r="283" spans="2:18" ht="15" customHeight="1">
      <c r="B283" s="9" t="s">
        <v>1090</v>
      </c>
      <c r="C283" s="9" t="s">
        <v>1118</v>
      </c>
      <c r="D283" s="9" t="s">
        <v>1119</v>
      </c>
      <c r="E283" s="26" t="s">
        <v>1318</v>
      </c>
      <c r="F283" s="15" t="s">
        <v>1050</v>
      </c>
      <c r="G283" s="9" t="s">
        <v>1091</v>
      </c>
      <c r="H283" s="9" t="s">
        <v>82</v>
      </c>
      <c r="I283" s="9" t="s">
        <v>1052</v>
      </c>
      <c r="J283" s="9" t="s">
        <v>1116</v>
      </c>
      <c r="K283" s="9"/>
      <c r="L283" s="9"/>
      <c r="M283" s="15"/>
      <c r="N283" s="9"/>
      <c r="O283" s="7" t="s">
        <v>17</v>
      </c>
      <c r="P283" s="8" t="s">
        <v>1054</v>
      </c>
      <c r="Q283" s="8"/>
      <c r="R283" s="8"/>
    </row>
    <row r="284" spans="2:18" ht="15" customHeight="1">
      <c r="B284" s="9" t="s">
        <v>1092</v>
      </c>
      <c r="C284" s="9" t="s">
        <v>1118</v>
      </c>
      <c r="D284" s="9" t="s">
        <v>1119</v>
      </c>
      <c r="E284" s="26" t="s">
        <v>1318</v>
      </c>
      <c r="F284" s="15" t="s">
        <v>1050</v>
      </c>
      <c r="G284" s="9" t="s">
        <v>1093</v>
      </c>
      <c r="H284" s="9" t="s">
        <v>82</v>
      </c>
      <c r="I284" s="9" t="s">
        <v>1052</v>
      </c>
      <c r="J284" s="9" t="s">
        <v>1116</v>
      </c>
      <c r="K284" s="9"/>
      <c r="L284" s="9"/>
      <c r="M284" s="15"/>
      <c r="N284" s="9"/>
      <c r="O284" s="7" t="s">
        <v>17</v>
      </c>
      <c r="P284" s="8" t="s">
        <v>1054</v>
      </c>
      <c r="Q284" s="8"/>
      <c r="R284" s="8"/>
    </row>
    <row r="285" spans="2:18" ht="15" customHeight="1">
      <c r="B285" s="9" t="s">
        <v>1094</v>
      </c>
      <c r="C285" s="9" t="s">
        <v>1118</v>
      </c>
      <c r="D285" s="9" t="s">
        <v>1119</v>
      </c>
      <c r="E285" s="26" t="s">
        <v>1318</v>
      </c>
      <c r="F285" s="15" t="s">
        <v>1050</v>
      </c>
      <c r="G285" s="9" t="s">
        <v>1095</v>
      </c>
      <c r="H285" s="9" t="s">
        <v>82</v>
      </c>
      <c r="I285" s="9" t="s">
        <v>1052</v>
      </c>
      <c r="J285" s="9" t="s">
        <v>1116</v>
      </c>
      <c r="K285" s="9"/>
      <c r="L285" s="9"/>
      <c r="M285" s="15"/>
      <c r="N285" s="9"/>
      <c r="O285" s="7" t="s">
        <v>17</v>
      </c>
      <c r="P285" s="8" t="s">
        <v>1054</v>
      </c>
      <c r="Q285" s="8"/>
      <c r="R285" s="8"/>
    </row>
    <row r="286" spans="2:18" ht="15" customHeight="1">
      <c r="B286" s="9" t="s">
        <v>1096</v>
      </c>
      <c r="C286" s="9" t="s">
        <v>1118</v>
      </c>
      <c r="D286" s="9" t="s">
        <v>1119</v>
      </c>
      <c r="E286" s="26" t="s">
        <v>1318</v>
      </c>
      <c r="F286" s="15" t="s">
        <v>1050</v>
      </c>
      <c r="G286" s="9" t="s">
        <v>1097</v>
      </c>
      <c r="H286" s="9" t="s">
        <v>82</v>
      </c>
      <c r="I286" s="9" t="s">
        <v>1052</v>
      </c>
      <c r="J286" s="9" t="s">
        <v>1116</v>
      </c>
      <c r="K286" s="9"/>
      <c r="L286" s="9"/>
      <c r="M286" s="15"/>
      <c r="N286" s="9"/>
      <c r="O286" s="7" t="s">
        <v>17</v>
      </c>
      <c r="P286" s="8" t="s">
        <v>1054</v>
      </c>
      <c r="Q286" s="8"/>
      <c r="R286" s="8"/>
    </row>
    <row r="287" spans="2:18" ht="15" customHeight="1">
      <c r="B287" s="9" t="s">
        <v>1098</v>
      </c>
      <c r="C287" s="9" t="s">
        <v>1118</v>
      </c>
      <c r="D287" s="9" t="s">
        <v>1119</v>
      </c>
      <c r="E287" s="26" t="s">
        <v>1318</v>
      </c>
      <c r="F287" s="15" t="s">
        <v>1050</v>
      </c>
      <c r="G287" s="9" t="s">
        <v>1099</v>
      </c>
      <c r="H287" s="9" t="s">
        <v>82</v>
      </c>
      <c r="I287" s="9" t="s">
        <v>1052</v>
      </c>
      <c r="J287" s="9" t="s">
        <v>1116</v>
      </c>
      <c r="K287" s="9"/>
      <c r="L287" s="9"/>
      <c r="M287" s="15" t="s">
        <v>1100</v>
      </c>
      <c r="N287" s="9"/>
      <c r="O287" s="7" t="s">
        <v>17</v>
      </c>
      <c r="P287" s="8" t="s">
        <v>1054</v>
      </c>
      <c r="Q287" s="8"/>
      <c r="R287" s="8"/>
    </row>
    <row r="288" spans="2:18" ht="15" customHeight="1">
      <c r="B288" s="9" t="s">
        <v>1101</v>
      </c>
      <c r="C288" s="9" t="s">
        <v>1118</v>
      </c>
      <c r="D288" s="9" t="s">
        <v>1119</v>
      </c>
      <c r="E288" s="26" t="s">
        <v>1318</v>
      </c>
      <c r="F288" s="15" t="s">
        <v>1050</v>
      </c>
      <c r="G288" s="9" t="s">
        <v>1102</v>
      </c>
      <c r="H288" s="9" t="s">
        <v>82</v>
      </c>
      <c r="I288" s="9" t="s">
        <v>1052</v>
      </c>
      <c r="J288" s="9" t="s">
        <v>1116</v>
      </c>
      <c r="K288" s="9"/>
      <c r="L288" s="9"/>
      <c r="M288" s="9"/>
      <c r="N288" s="9"/>
      <c r="O288" s="7" t="s">
        <v>17</v>
      </c>
      <c r="P288" s="8" t="s">
        <v>1054</v>
      </c>
      <c r="Q288" s="8"/>
      <c r="R288" s="8"/>
    </row>
    <row r="289" spans="2:18" ht="15" customHeight="1">
      <c r="B289" s="9" t="s">
        <v>1326</v>
      </c>
      <c r="C289" s="9" t="s">
        <v>1118</v>
      </c>
      <c r="D289" s="9" t="s">
        <v>1119</v>
      </c>
      <c r="E289" s="26" t="s">
        <v>1318</v>
      </c>
      <c r="F289" s="15" t="s">
        <v>1050</v>
      </c>
      <c r="G289" s="9" t="s">
        <v>1327</v>
      </c>
      <c r="H289" s="9" t="s">
        <v>82</v>
      </c>
      <c r="I289" s="9" t="s">
        <v>1052</v>
      </c>
      <c r="J289" s="9" t="s">
        <v>1116</v>
      </c>
      <c r="K289" s="9"/>
      <c r="L289" s="9"/>
      <c r="M289" s="9"/>
      <c r="N289" s="9"/>
      <c r="O289" s="7" t="s">
        <v>17</v>
      </c>
      <c r="P289" s="8" t="s">
        <v>1054</v>
      </c>
      <c r="Q289" s="8"/>
      <c r="R289" s="8"/>
    </row>
    <row r="290" spans="2:18" ht="15" customHeight="1">
      <c r="B290" s="9" t="s">
        <v>1328</v>
      </c>
      <c r="C290" s="9" t="s">
        <v>1118</v>
      </c>
      <c r="D290" s="9" t="s">
        <v>1119</v>
      </c>
      <c r="E290" s="26" t="s">
        <v>1318</v>
      </c>
      <c r="F290" s="15" t="s">
        <v>1050</v>
      </c>
      <c r="G290" s="9" t="s">
        <v>1329</v>
      </c>
      <c r="H290" s="9" t="s">
        <v>82</v>
      </c>
      <c r="I290" s="9" t="s">
        <v>1052</v>
      </c>
      <c r="J290" s="9" t="s">
        <v>1116</v>
      </c>
      <c r="K290" s="9"/>
      <c r="L290" s="9"/>
      <c r="M290" s="9"/>
      <c r="N290" s="9"/>
      <c r="O290" s="7" t="s">
        <v>17</v>
      </c>
      <c r="P290" s="8" t="s">
        <v>1054</v>
      </c>
      <c r="Q290" s="8"/>
      <c r="R290" s="8"/>
    </row>
    <row r="291" spans="2:18" ht="15" customHeight="1">
      <c r="B291" s="9" t="s">
        <v>1330</v>
      </c>
      <c r="C291" s="9" t="s">
        <v>1118</v>
      </c>
      <c r="D291" s="9" t="s">
        <v>1119</v>
      </c>
      <c r="E291" s="26" t="s">
        <v>1318</v>
      </c>
      <c r="F291" s="15" t="s">
        <v>1050</v>
      </c>
      <c r="G291" s="9" t="s">
        <v>1331</v>
      </c>
      <c r="H291" s="9" t="s">
        <v>82</v>
      </c>
      <c r="I291" s="9" t="s">
        <v>1052</v>
      </c>
      <c r="J291" s="9" t="s">
        <v>1116</v>
      </c>
      <c r="K291" s="9"/>
      <c r="L291" s="9"/>
      <c r="M291" s="9"/>
      <c r="N291" s="9"/>
      <c r="O291" s="7" t="s">
        <v>17</v>
      </c>
      <c r="P291" s="8" t="s">
        <v>1054</v>
      </c>
      <c r="Q291" s="8"/>
      <c r="R291" s="8"/>
    </row>
  </sheetData>
  <autoFilter ref="B2:N291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R123"/>
  <sheetViews>
    <sheetView zoomScale="70" zoomScaleNormal="70" workbookViewId="0">
      <selection activeCell="B107" sqref="B107"/>
    </sheetView>
  </sheetViews>
  <sheetFormatPr defaultColWidth="8.85546875" defaultRowHeight="14.45"/>
  <cols>
    <col min="1" max="1" width="9.140625" style="27" customWidth="1"/>
    <col min="2" max="2" width="52.42578125" style="28" customWidth="1"/>
    <col min="3" max="3" width="8.85546875" style="29"/>
    <col min="4" max="4" width="48.42578125" style="29" customWidth="1"/>
    <col min="5" max="5" width="8.85546875" style="29"/>
    <col min="6" max="6" width="44.7109375" style="29" customWidth="1"/>
    <col min="7" max="7" width="8.85546875" style="29"/>
    <col min="8" max="8" width="38.85546875" style="29" customWidth="1"/>
    <col min="9" max="9" width="8.85546875" style="29"/>
    <col min="10" max="10" width="50.42578125" style="29" customWidth="1"/>
    <col min="11" max="11" width="9.5703125" style="29" customWidth="1"/>
    <col min="12" max="12" width="32.85546875" style="29" customWidth="1"/>
    <col min="13" max="16384" width="8.85546875" style="29"/>
  </cols>
  <sheetData>
    <row r="2" spans="1:18">
      <c r="A2" s="27">
        <v>1</v>
      </c>
      <c r="B2" s="30" t="s">
        <v>1132</v>
      </c>
    </row>
    <row r="4" spans="1:18" ht="28.5" customHeight="1">
      <c r="B4" s="31" t="s">
        <v>1332</v>
      </c>
      <c r="D4" s="31" t="s">
        <v>1147</v>
      </c>
      <c r="F4" s="31" t="s">
        <v>1143</v>
      </c>
      <c r="H4" s="32" t="s">
        <v>1162</v>
      </c>
      <c r="L4" s="33" t="s">
        <v>1333</v>
      </c>
    </row>
    <row r="5" spans="1:18">
      <c r="B5" s="29"/>
      <c r="H5" s="28"/>
      <c r="L5" s="34" t="s">
        <v>1334</v>
      </c>
    </row>
    <row r="6" spans="1:18" ht="28.5" customHeight="1">
      <c r="B6" s="35" t="s">
        <v>1335</v>
      </c>
      <c r="D6" s="35" t="s">
        <v>1336</v>
      </c>
      <c r="F6" s="35" t="s">
        <v>1337</v>
      </c>
      <c r="H6" s="35" t="s">
        <v>1338</v>
      </c>
      <c r="L6" s="34" t="s">
        <v>1339</v>
      </c>
    </row>
    <row r="7" spans="1:18" ht="28.5" customHeight="1">
      <c r="B7" s="35" t="s">
        <v>1340</v>
      </c>
      <c r="D7" s="35" t="s">
        <v>1341</v>
      </c>
      <c r="F7" s="35" t="s">
        <v>1342</v>
      </c>
      <c r="H7" s="35" t="s">
        <v>1343</v>
      </c>
      <c r="L7" s="36" t="s">
        <v>1344</v>
      </c>
    </row>
    <row r="8" spans="1:18" ht="28.5" customHeight="1">
      <c r="B8" s="35" t="s">
        <v>1345</v>
      </c>
      <c r="D8" s="35" t="s">
        <v>1346</v>
      </c>
      <c r="F8" s="35" t="s">
        <v>1347</v>
      </c>
      <c r="H8" s="35" t="s">
        <v>1348</v>
      </c>
      <c r="L8" s="36" t="s">
        <v>1349</v>
      </c>
    </row>
    <row r="9" spans="1:18" ht="28.5" customHeight="1">
      <c r="B9" s="35" t="s">
        <v>1350</v>
      </c>
      <c r="D9" s="35" t="s">
        <v>1351</v>
      </c>
      <c r="F9" s="35" t="s">
        <v>1352</v>
      </c>
      <c r="H9" s="35" t="s">
        <v>1353</v>
      </c>
      <c r="L9" s="36" t="s">
        <v>1354</v>
      </c>
    </row>
    <row r="10" spans="1:18" ht="28.5" customHeight="1">
      <c r="B10" s="35" t="s">
        <v>1355</v>
      </c>
      <c r="D10" s="35" t="s">
        <v>1356</v>
      </c>
      <c r="F10" s="35" t="s">
        <v>1357</v>
      </c>
      <c r="H10" s="35" t="s">
        <v>1358</v>
      </c>
    </row>
    <row r="11" spans="1:18" ht="28.5" customHeight="1">
      <c r="B11" s="35" t="s">
        <v>1359</v>
      </c>
      <c r="D11" s="37" t="s">
        <v>1360</v>
      </c>
      <c r="F11" s="37" t="s">
        <v>1361</v>
      </c>
      <c r="H11" s="35" t="s">
        <v>1362</v>
      </c>
    </row>
    <row r="12" spans="1:18" ht="28.5" customHeight="1">
      <c r="B12" s="37" t="s">
        <v>1363</v>
      </c>
      <c r="D12" s="35" t="s">
        <v>1364</v>
      </c>
      <c r="F12" s="35"/>
      <c r="H12" s="35" t="s">
        <v>1365</v>
      </c>
      <c r="R12" s="29" t="s">
        <v>1366</v>
      </c>
    </row>
    <row r="13" spans="1:18" ht="28.5" customHeight="1">
      <c r="B13" s="35" t="s">
        <v>1367</v>
      </c>
      <c r="D13" s="35" t="s">
        <v>1368</v>
      </c>
      <c r="F13" s="35"/>
      <c r="H13" s="37" t="s">
        <v>1369</v>
      </c>
    </row>
    <row r="14" spans="1:18">
      <c r="B14" s="35"/>
      <c r="D14" s="35"/>
      <c r="F14" s="35"/>
      <c r="H14" s="35" t="s">
        <v>1370</v>
      </c>
    </row>
    <row r="20" spans="1:15">
      <c r="A20" s="27">
        <v>2</v>
      </c>
      <c r="B20" s="30" t="s">
        <v>1118</v>
      </c>
    </row>
    <row r="22" spans="1:15">
      <c r="B22" s="32" t="s">
        <v>1119</v>
      </c>
      <c r="D22" s="31" t="s">
        <v>1163</v>
      </c>
      <c r="F22" s="31" t="s">
        <v>1158</v>
      </c>
      <c r="H22" s="32" t="s">
        <v>1151</v>
      </c>
      <c r="J22" s="32" t="s">
        <v>1224</v>
      </c>
      <c r="L22" s="32" t="s">
        <v>1371</v>
      </c>
      <c r="O22" s="33" t="s">
        <v>1333</v>
      </c>
    </row>
    <row r="23" spans="1:15">
      <c r="H23" s="28"/>
      <c r="J23" s="28"/>
      <c r="L23" s="28"/>
      <c r="O23" s="38" t="s">
        <v>1354</v>
      </c>
    </row>
    <row r="24" spans="1:15" ht="42.75" customHeight="1">
      <c r="B24" s="35" t="s">
        <v>1372</v>
      </c>
      <c r="D24" s="35" t="s">
        <v>1373</v>
      </c>
      <c r="F24" s="35" t="s">
        <v>1374</v>
      </c>
      <c r="H24" s="35" t="s">
        <v>1375</v>
      </c>
      <c r="J24" s="35" t="s">
        <v>1376</v>
      </c>
      <c r="L24" s="35" t="s">
        <v>1377</v>
      </c>
      <c r="O24" s="38" t="s">
        <v>1378</v>
      </c>
    </row>
    <row r="25" spans="1:15" ht="28.5" customHeight="1">
      <c r="B25" s="35" t="s">
        <v>1379</v>
      </c>
      <c r="D25" s="35" t="s">
        <v>1380</v>
      </c>
      <c r="F25" s="35" t="s">
        <v>1381</v>
      </c>
      <c r="H25" s="35" t="s">
        <v>1382</v>
      </c>
      <c r="J25" s="35" t="s">
        <v>1383</v>
      </c>
      <c r="L25" s="35"/>
      <c r="O25" s="38" t="s">
        <v>1384</v>
      </c>
    </row>
    <row r="26" spans="1:15" ht="57" customHeight="1">
      <c r="B26" s="35" t="s">
        <v>1385</v>
      </c>
      <c r="D26" s="35" t="s">
        <v>1386</v>
      </c>
      <c r="F26" s="35" t="s">
        <v>1387</v>
      </c>
      <c r="H26" s="35" t="s">
        <v>1388</v>
      </c>
      <c r="J26" s="35" t="s">
        <v>1389</v>
      </c>
      <c r="L26" s="35"/>
      <c r="O26" s="38" t="s">
        <v>1390</v>
      </c>
    </row>
    <row r="27" spans="1:15" ht="57" customHeight="1">
      <c r="B27" s="35" t="s">
        <v>1391</v>
      </c>
      <c r="D27" s="35" t="s">
        <v>1392</v>
      </c>
      <c r="F27" s="35" t="s">
        <v>1393</v>
      </c>
      <c r="H27" s="35" t="s">
        <v>1394</v>
      </c>
      <c r="J27" s="35" t="s">
        <v>1395</v>
      </c>
      <c r="L27" s="35"/>
    </row>
    <row r="28" spans="1:15" ht="42.75" customHeight="1">
      <c r="B28" s="35" t="s">
        <v>1396</v>
      </c>
      <c r="D28" s="35" t="s">
        <v>1397</v>
      </c>
      <c r="F28" s="35" t="s">
        <v>1398</v>
      </c>
      <c r="H28" s="35" t="s">
        <v>1399</v>
      </c>
      <c r="J28" s="37" t="s">
        <v>1400</v>
      </c>
      <c r="L28" s="37"/>
    </row>
    <row r="29" spans="1:15" ht="42.75" customHeight="1">
      <c r="B29" s="35" t="s">
        <v>1401</v>
      </c>
      <c r="D29" s="35" t="s">
        <v>1402</v>
      </c>
      <c r="F29" s="35" t="s">
        <v>1403</v>
      </c>
      <c r="H29" s="35" t="s">
        <v>1404</v>
      </c>
      <c r="J29" s="35" t="s">
        <v>1405</v>
      </c>
      <c r="L29" s="35"/>
    </row>
    <row r="30" spans="1:15" ht="57" customHeight="1">
      <c r="B30" s="35" t="s">
        <v>1406</v>
      </c>
      <c r="D30" s="35"/>
      <c r="F30" s="35" t="s">
        <v>1407</v>
      </c>
      <c r="H30" s="35" t="s">
        <v>1408</v>
      </c>
      <c r="J30" s="35"/>
      <c r="L30" s="35"/>
    </row>
    <row r="31" spans="1:15" ht="28.5" customHeight="1">
      <c r="B31" s="35" t="s">
        <v>1401</v>
      </c>
      <c r="D31" s="35"/>
      <c r="F31" s="35" t="s">
        <v>1409</v>
      </c>
      <c r="H31" s="35" t="s">
        <v>1410</v>
      </c>
      <c r="J31" s="35"/>
      <c r="L31" s="35"/>
    </row>
    <row r="32" spans="1:15" ht="28.5" customHeight="1">
      <c r="B32" s="35" t="s">
        <v>1411</v>
      </c>
      <c r="D32" s="35"/>
      <c r="F32" s="35" t="s">
        <v>1412</v>
      </c>
      <c r="H32" s="35"/>
      <c r="J32" s="35"/>
      <c r="L32" s="35"/>
    </row>
    <row r="33" spans="1:12" ht="28.5" customHeight="1">
      <c r="B33" s="35"/>
      <c r="D33" s="35"/>
      <c r="F33" s="35" t="s">
        <v>1413</v>
      </c>
      <c r="H33" s="35"/>
      <c r="J33" s="35"/>
      <c r="L33" s="35"/>
    </row>
    <row r="34" spans="1:12" ht="28.5" customHeight="1">
      <c r="B34" s="35"/>
      <c r="D34" s="35"/>
      <c r="F34" s="37" t="s">
        <v>1414</v>
      </c>
      <c r="H34" s="39"/>
      <c r="J34" s="39"/>
      <c r="L34" s="39"/>
    </row>
    <row r="35" spans="1:12" ht="28.5" customHeight="1">
      <c r="B35" s="40"/>
      <c r="D35" s="40"/>
      <c r="F35" s="35" t="s">
        <v>1415</v>
      </c>
      <c r="H35" s="41"/>
      <c r="J35" s="41"/>
      <c r="L35" s="41"/>
    </row>
    <row r="36" spans="1:12" ht="28.5" customHeight="1">
      <c r="B36" s="40"/>
      <c r="D36" s="40"/>
      <c r="F36" s="37" t="s">
        <v>1416</v>
      </c>
      <c r="H36" s="41"/>
      <c r="J36" s="41"/>
      <c r="L36" s="41"/>
    </row>
    <row r="41" spans="1:12">
      <c r="A41" s="27">
        <v>3</v>
      </c>
      <c r="B41" s="30" t="s">
        <v>1136</v>
      </c>
    </row>
    <row r="43" spans="1:12">
      <c r="B43" s="32" t="s">
        <v>1227</v>
      </c>
      <c r="D43" s="31" t="s">
        <v>1137</v>
      </c>
      <c r="L43" s="33" t="s">
        <v>1333</v>
      </c>
    </row>
    <row r="44" spans="1:12">
      <c r="L44" s="34" t="s">
        <v>1417</v>
      </c>
    </row>
    <row r="45" spans="1:12">
      <c r="L45" s="36" t="s">
        <v>1418</v>
      </c>
    </row>
    <row r="46" spans="1:12" ht="42.75" customHeight="1">
      <c r="B46" s="35" t="s">
        <v>1419</v>
      </c>
      <c r="D46" s="35" t="s">
        <v>1420</v>
      </c>
    </row>
    <row r="47" spans="1:12" ht="28.5" customHeight="1">
      <c r="B47" s="35" t="s">
        <v>1421</v>
      </c>
      <c r="D47" s="35" t="s">
        <v>1422</v>
      </c>
    </row>
    <row r="48" spans="1:12" ht="28.5" customHeight="1">
      <c r="B48" s="35" t="s">
        <v>1423</v>
      </c>
      <c r="D48" s="35" t="s">
        <v>1424</v>
      </c>
    </row>
    <row r="49" spans="1:6" ht="28.5" customHeight="1">
      <c r="B49" s="35" t="s">
        <v>1425</v>
      </c>
      <c r="D49" s="35" t="s">
        <v>1426</v>
      </c>
    </row>
    <row r="50" spans="1:6" ht="28.5" customHeight="1">
      <c r="B50" s="35" t="s">
        <v>1427</v>
      </c>
      <c r="D50" s="35"/>
    </row>
    <row r="55" spans="1:6">
      <c r="A55" s="27">
        <v>4</v>
      </c>
      <c r="B55" s="30" t="s">
        <v>1428</v>
      </c>
    </row>
    <row r="57" spans="1:6">
      <c r="B57" s="32" t="s">
        <v>1429</v>
      </c>
      <c r="D57" s="31" t="s">
        <v>1430</v>
      </c>
      <c r="F57" s="33" t="s">
        <v>1333</v>
      </c>
    </row>
    <row r="58" spans="1:6">
      <c r="F58" s="34" t="s">
        <v>1417</v>
      </c>
    </row>
    <row r="59" spans="1:6">
      <c r="F59" s="36" t="s">
        <v>1354</v>
      </c>
    </row>
    <row r="60" spans="1:6" ht="28.5" customHeight="1">
      <c r="B60" s="35" t="s">
        <v>1431</v>
      </c>
      <c r="D60" s="35" t="s">
        <v>1432</v>
      </c>
    </row>
    <row r="61" spans="1:6" ht="28.5" customHeight="1">
      <c r="B61" s="35" t="s">
        <v>1433</v>
      </c>
      <c r="D61" s="35" t="s">
        <v>1434</v>
      </c>
    </row>
    <row r="62" spans="1:6" ht="28.5" customHeight="1">
      <c r="B62" s="35" t="s">
        <v>1435</v>
      </c>
      <c r="D62" s="35" t="s">
        <v>1436</v>
      </c>
    </row>
    <row r="63" spans="1:6" ht="28.5" customHeight="1">
      <c r="B63" s="35" t="s">
        <v>1437</v>
      </c>
      <c r="D63" s="35" t="s">
        <v>1438</v>
      </c>
    </row>
    <row r="64" spans="1:6" ht="28.5" customHeight="1">
      <c r="B64" s="35" t="s">
        <v>1439</v>
      </c>
      <c r="D64" s="35"/>
    </row>
    <row r="65" spans="1:6" ht="28.5" customHeight="1">
      <c r="B65" s="35" t="s">
        <v>1440</v>
      </c>
      <c r="D65" s="35"/>
    </row>
    <row r="66" spans="1:6">
      <c r="B66" s="35"/>
      <c r="D66" s="35"/>
    </row>
    <row r="72" spans="1:6">
      <c r="A72" s="27">
        <v>5</v>
      </c>
      <c r="B72" s="30" t="s">
        <v>1123</v>
      </c>
    </row>
    <row r="74" spans="1:6">
      <c r="B74" s="32" t="s">
        <v>1124</v>
      </c>
      <c r="D74" s="31" t="s">
        <v>1441</v>
      </c>
      <c r="F74" s="33" t="s">
        <v>1333</v>
      </c>
    </row>
    <row r="75" spans="1:6">
      <c r="F75" s="34" t="s">
        <v>1417</v>
      </c>
    </row>
    <row r="76" spans="1:6" ht="28.5" customHeight="1">
      <c r="B76" s="35" t="s">
        <v>1442</v>
      </c>
      <c r="D76" s="35" t="s">
        <v>1443</v>
      </c>
      <c r="F76" s="36" t="s">
        <v>1354</v>
      </c>
    </row>
    <row r="77" spans="1:6">
      <c r="B77" s="35" t="s">
        <v>1444</v>
      </c>
      <c r="D77" s="35" t="s">
        <v>1445</v>
      </c>
    </row>
    <row r="78" spans="1:6">
      <c r="B78" s="35" t="s">
        <v>1446</v>
      </c>
      <c r="D78" s="35" t="s">
        <v>1447</v>
      </c>
    </row>
    <row r="79" spans="1:6">
      <c r="B79" s="35" t="s">
        <v>1448</v>
      </c>
      <c r="D79" s="35" t="s">
        <v>1449</v>
      </c>
    </row>
    <row r="80" spans="1:6">
      <c r="B80" s="35"/>
      <c r="D80" s="35"/>
    </row>
    <row r="86" spans="1:6">
      <c r="A86" s="27">
        <v>6</v>
      </c>
      <c r="B86" s="30" t="s">
        <v>1106</v>
      </c>
    </row>
    <row r="88" spans="1:6">
      <c r="B88" s="32" t="s">
        <v>1129</v>
      </c>
      <c r="D88" s="31" t="s">
        <v>1450</v>
      </c>
      <c r="F88" s="33" t="s">
        <v>1333</v>
      </c>
    </row>
    <row r="89" spans="1:6">
      <c r="F89" s="34" t="s">
        <v>1417</v>
      </c>
    </row>
    <row r="90" spans="1:6" ht="28.5" customHeight="1">
      <c r="B90" s="35" t="s">
        <v>1451</v>
      </c>
      <c r="D90" s="35" t="s">
        <v>1452</v>
      </c>
      <c r="F90" s="36" t="s">
        <v>1453</v>
      </c>
    </row>
    <row r="91" spans="1:6" ht="28.5" customHeight="1">
      <c r="B91" s="35" t="s">
        <v>1454</v>
      </c>
      <c r="D91" s="35" t="s">
        <v>1455</v>
      </c>
    </row>
    <row r="92" spans="1:6" ht="28.5" customHeight="1">
      <c r="B92" s="35" t="s">
        <v>1456</v>
      </c>
      <c r="D92" s="35" t="s">
        <v>1457</v>
      </c>
    </row>
    <row r="93" spans="1:6" ht="28.5" customHeight="1">
      <c r="B93" s="35" t="s">
        <v>1458</v>
      </c>
      <c r="D93" s="35" t="s">
        <v>1459</v>
      </c>
    </row>
    <row r="94" spans="1:6">
      <c r="B94" s="35"/>
      <c r="D94" s="35" t="s">
        <v>1460</v>
      </c>
    </row>
    <row r="95" spans="1:6" ht="28.5" customHeight="1">
      <c r="B95" s="35"/>
      <c r="D95" s="35" t="s">
        <v>1461</v>
      </c>
    </row>
    <row r="100" spans="1:6">
      <c r="A100" s="27">
        <v>7</v>
      </c>
      <c r="B100" s="30" t="s">
        <v>1112</v>
      </c>
    </row>
    <row r="102" spans="1:6">
      <c r="B102" s="32" t="s">
        <v>1120</v>
      </c>
      <c r="D102" s="31" t="s">
        <v>1115</v>
      </c>
      <c r="F102" s="33" t="s">
        <v>1333</v>
      </c>
    </row>
    <row r="103" spans="1:6">
      <c r="F103" s="36" t="s">
        <v>1462</v>
      </c>
    </row>
    <row r="104" spans="1:6" ht="28.5" customHeight="1">
      <c r="B104" s="35" t="s">
        <v>1463</v>
      </c>
      <c r="D104" s="35" t="s">
        <v>1464</v>
      </c>
    </row>
    <row r="105" spans="1:6" ht="28.5" customHeight="1">
      <c r="B105" s="35" t="s">
        <v>1465</v>
      </c>
      <c r="D105" s="35" t="s">
        <v>1466</v>
      </c>
    </row>
    <row r="106" spans="1:6" ht="28.5" customHeight="1">
      <c r="B106" s="35" t="s">
        <v>1467</v>
      </c>
      <c r="D106" s="35" t="s">
        <v>1468</v>
      </c>
    </row>
    <row r="107" spans="1:6" ht="28.5" customHeight="1">
      <c r="B107" s="35" t="s">
        <v>1469</v>
      </c>
      <c r="D107" s="35" t="s">
        <v>1470</v>
      </c>
    </row>
    <row r="108" spans="1:6" ht="28.5" customHeight="1">
      <c r="B108" s="35" t="s">
        <v>1471</v>
      </c>
      <c r="D108" s="35" t="s">
        <v>1472</v>
      </c>
    </row>
    <row r="109" spans="1:6" ht="28.5" customHeight="1">
      <c r="B109" s="35" t="s">
        <v>1473</v>
      </c>
      <c r="D109" s="35" t="s">
        <v>1474</v>
      </c>
    </row>
    <row r="110" spans="1:6" ht="42.75" customHeight="1">
      <c r="B110" s="35" t="s">
        <v>1475</v>
      </c>
      <c r="D110" s="35" t="s">
        <v>1476</v>
      </c>
    </row>
    <row r="116" spans="1:4">
      <c r="A116" s="27">
        <v>8</v>
      </c>
      <c r="B116" s="30" t="s">
        <v>1477</v>
      </c>
    </row>
    <row r="118" spans="1:4">
      <c r="B118" s="32" t="s">
        <v>1478</v>
      </c>
      <c r="D118" s="31" t="s">
        <v>1479</v>
      </c>
    </row>
    <row r="119" spans="1:4">
      <c r="B119" s="40" t="s">
        <v>1480</v>
      </c>
      <c r="D119" s="40" t="s">
        <v>1481</v>
      </c>
    </row>
    <row r="120" spans="1:4">
      <c r="B120" s="40" t="s">
        <v>1482</v>
      </c>
      <c r="D120" s="40" t="s">
        <v>1483</v>
      </c>
    </row>
    <row r="121" spans="1:4">
      <c r="B121" s="40"/>
      <c r="D121" s="40" t="s">
        <v>1484</v>
      </c>
    </row>
    <row r="122" spans="1:4">
      <c r="B122" s="40"/>
      <c r="D122" s="40" t="s">
        <v>1485</v>
      </c>
    </row>
    <row r="123" spans="1:4">
      <c r="B123" s="40"/>
      <c r="D123" s="40" t="s">
        <v>1486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H117"/>
  <sheetViews>
    <sheetView topLeftCell="A6" zoomScaleNormal="100" workbookViewId="0">
      <selection activeCell="F10" sqref="F10"/>
    </sheetView>
  </sheetViews>
  <sheetFormatPr defaultColWidth="8.85546875" defaultRowHeight="13.9"/>
  <cols>
    <col min="1" max="1" width="9.140625" style="42" customWidth="1"/>
    <col min="2" max="2" width="54.7109375" style="43" customWidth="1"/>
    <col min="3" max="3" width="8.85546875" style="44"/>
    <col min="4" max="4" width="59.140625" style="44" customWidth="1"/>
    <col min="5" max="5" width="8.85546875" style="44"/>
    <col min="6" max="6" width="49.7109375" style="44" customWidth="1"/>
    <col min="7" max="7" width="8.85546875" style="44"/>
    <col min="8" max="8" width="46.28515625" style="44" customWidth="1"/>
    <col min="9" max="16384" width="8.85546875" style="44"/>
  </cols>
  <sheetData>
    <row r="2" spans="1:8">
      <c r="A2" s="42">
        <v>1</v>
      </c>
      <c r="B2" s="45" t="s">
        <v>1132</v>
      </c>
    </row>
    <row r="4" spans="1:8">
      <c r="B4" s="46" t="s">
        <v>1487</v>
      </c>
      <c r="D4" s="47" t="s">
        <v>1488</v>
      </c>
      <c r="F4" s="47" t="s">
        <v>1489</v>
      </c>
      <c r="H4" s="48" t="s">
        <v>1490</v>
      </c>
    </row>
    <row r="5" spans="1:8">
      <c r="H5" s="49" t="s">
        <v>1491</v>
      </c>
    </row>
    <row r="6" spans="1:8" ht="27" customHeight="1">
      <c r="B6" s="50" t="s">
        <v>1492</v>
      </c>
      <c r="D6" s="51" t="s">
        <v>1493</v>
      </c>
      <c r="F6" s="51" t="s">
        <v>1494</v>
      </c>
      <c r="H6" s="49" t="s">
        <v>1495</v>
      </c>
    </row>
    <row r="7" spans="1:8" ht="27" customHeight="1">
      <c r="B7" s="50" t="s">
        <v>1496</v>
      </c>
      <c r="D7" s="51" t="s">
        <v>1497</v>
      </c>
      <c r="F7" s="51" t="s">
        <v>1498</v>
      </c>
      <c r="H7" s="52" t="s">
        <v>1499</v>
      </c>
    </row>
    <row r="8" spans="1:8" ht="27" customHeight="1">
      <c r="B8" s="50" t="s">
        <v>1500</v>
      </c>
      <c r="D8" s="51" t="s">
        <v>1501</v>
      </c>
      <c r="F8" s="51" t="s">
        <v>1502</v>
      </c>
    </row>
    <row r="9" spans="1:8" ht="27" customHeight="1">
      <c r="B9" s="51"/>
      <c r="D9" s="51"/>
      <c r="F9" s="51" t="s">
        <v>1503</v>
      </c>
    </row>
    <row r="10" spans="1:8" ht="27" customHeight="1">
      <c r="B10" s="51"/>
      <c r="D10" s="51"/>
      <c r="F10" s="51" t="s">
        <v>1504</v>
      </c>
    </row>
    <row r="11" spans="1:8">
      <c r="B11" s="51"/>
      <c r="D11" s="51"/>
      <c r="F11" s="53"/>
    </row>
    <row r="16" spans="1:8">
      <c r="A16" s="42">
        <v>2</v>
      </c>
      <c r="B16" s="45" t="s">
        <v>1118</v>
      </c>
    </row>
    <row r="18" spans="1:8">
      <c r="B18" s="46" t="s">
        <v>1505</v>
      </c>
      <c r="D18" s="47" t="s">
        <v>1506</v>
      </c>
      <c r="F18" s="47" t="s">
        <v>1489</v>
      </c>
      <c r="H18" s="48" t="s">
        <v>1490</v>
      </c>
    </row>
    <row r="19" spans="1:8">
      <c r="H19" s="49" t="s">
        <v>1507</v>
      </c>
    </row>
    <row r="20" spans="1:8" ht="56.25" customHeight="1">
      <c r="B20" s="51" t="s">
        <v>1508</v>
      </c>
      <c r="D20" s="51" t="s">
        <v>1509</v>
      </c>
      <c r="F20" s="51" t="s">
        <v>1510</v>
      </c>
      <c r="H20" s="49" t="s">
        <v>1511</v>
      </c>
    </row>
    <row r="21" spans="1:8" ht="41.25" customHeight="1">
      <c r="B21" s="51" t="s">
        <v>1512</v>
      </c>
      <c r="D21" s="51" t="s">
        <v>1513</v>
      </c>
      <c r="F21" s="51" t="s">
        <v>1514</v>
      </c>
      <c r="H21" s="49" t="s">
        <v>1489</v>
      </c>
    </row>
    <row r="22" spans="1:8" ht="41.25" customHeight="1">
      <c r="B22" s="51"/>
      <c r="D22" s="51" t="s">
        <v>1515</v>
      </c>
      <c r="F22" s="51" t="s">
        <v>1516</v>
      </c>
      <c r="H22" s="52" t="s">
        <v>1517</v>
      </c>
    </row>
    <row r="23" spans="1:8" ht="27" customHeight="1">
      <c r="B23" s="51"/>
      <c r="D23" s="51" t="s">
        <v>1518</v>
      </c>
      <c r="F23" s="51"/>
    </row>
    <row r="24" spans="1:8">
      <c r="B24" s="51"/>
      <c r="D24" s="53"/>
      <c r="F24" s="51"/>
    </row>
    <row r="29" spans="1:8">
      <c r="A29" s="42">
        <v>3</v>
      </c>
      <c r="B29" s="45" t="s">
        <v>1519</v>
      </c>
    </row>
    <row r="31" spans="1:8">
      <c r="B31" s="46" t="s">
        <v>1520</v>
      </c>
      <c r="D31" s="47" t="s">
        <v>1521</v>
      </c>
      <c r="F31" s="47" t="s">
        <v>1522</v>
      </c>
      <c r="H31" s="48" t="s">
        <v>1490</v>
      </c>
    </row>
    <row r="32" spans="1:8">
      <c r="H32" s="49" t="s">
        <v>1523</v>
      </c>
    </row>
    <row r="33" spans="1:8" ht="41.25" customHeight="1">
      <c r="B33" s="51" t="s">
        <v>1524</v>
      </c>
      <c r="D33" s="51" t="s">
        <v>1525</v>
      </c>
      <c r="F33" s="51" t="s">
        <v>1526</v>
      </c>
      <c r="H33" s="49" t="s">
        <v>1527</v>
      </c>
    </row>
    <row r="34" spans="1:8" ht="27" customHeight="1">
      <c r="B34" s="51" t="s">
        <v>1528</v>
      </c>
      <c r="D34" s="51"/>
      <c r="F34" s="51" t="s">
        <v>1529</v>
      </c>
      <c r="H34" s="49" t="s">
        <v>1530</v>
      </c>
    </row>
    <row r="35" spans="1:8" ht="27" customHeight="1">
      <c r="B35" s="51" t="s">
        <v>1531</v>
      </c>
      <c r="D35" s="51"/>
      <c r="F35" s="51" t="s">
        <v>1532</v>
      </c>
      <c r="H35" s="54"/>
    </row>
    <row r="36" spans="1:8" ht="29.25" customHeight="1">
      <c r="B36" s="51" t="s">
        <v>1533</v>
      </c>
      <c r="D36" s="51"/>
      <c r="F36" s="51"/>
    </row>
    <row r="37" spans="1:8">
      <c r="B37" s="51" t="s">
        <v>1534</v>
      </c>
      <c r="D37" s="51"/>
      <c r="F37" s="51"/>
    </row>
    <row r="38" spans="1:8" ht="41.25" customHeight="1">
      <c r="B38" s="51" t="s">
        <v>1535</v>
      </c>
      <c r="D38" s="51"/>
      <c r="F38" s="51"/>
    </row>
    <row r="39" spans="1:8">
      <c r="B39" s="51"/>
      <c r="D39" s="51"/>
      <c r="F39" s="53"/>
    </row>
    <row r="40" spans="1:8">
      <c r="B40" s="51"/>
      <c r="D40" s="51"/>
      <c r="F40" s="53"/>
    </row>
    <row r="41" spans="1:8">
      <c r="B41" s="51"/>
      <c r="D41" s="51"/>
      <c r="F41" s="53"/>
    </row>
    <row r="46" spans="1:8">
      <c r="A46" s="42">
        <v>4</v>
      </c>
      <c r="B46" s="45" t="s">
        <v>1536</v>
      </c>
    </row>
    <row r="48" spans="1:8">
      <c r="B48" s="46" t="s">
        <v>1537</v>
      </c>
      <c r="D48" s="47" t="s">
        <v>1538</v>
      </c>
      <c r="F48" s="47" t="s">
        <v>1539</v>
      </c>
      <c r="H48" s="48" t="s">
        <v>1490</v>
      </c>
    </row>
    <row r="49" spans="1:8">
      <c r="H49" s="49" t="s">
        <v>1540</v>
      </c>
    </row>
    <row r="50" spans="1:8" ht="27" customHeight="1">
      <c r="B50" s="51" t="s">
        <v>1541</v>
      </c>
      <c r="D50" s="51" t="s">
        <v>1542</v>
      </c>
      <c r="F50" s="51" t="s">
        <v>1543</v>
      </c>
      <c r="H50" s="49" t="s">
        <v>1544</v>
      </c>
    </row>
    <row r="51" spans="1:8" ht="27" customHeight="1">
      <c r="B51" s="51" t="s">
        <v>1545</v>
      </c>
      <c r="D51" s="51" t="s">
        <v>1546</v>
      </c>
      <c r="F51" s="51" t="s">
        <v>1547</v>
      </c>
      <c r="H51" s="49" t="s">
        <v>1548</v>
      </c>
    </row>
    <row r="52" spans="1:8" ht="27" customHeight="1">
      <c r="B52" s="51" t="s">
        <v>1549</v>
      </c>
      <c r="D52" s="51" t="s">
        <v>1550</v>
      </c>
      <c r="F52" s="51" t="s">
        <v>1551</v>
      </c>
    </row>
    <row r="53" spans="1:8" ht="27" customHeight="1">
      <c r="B53" s="51" t="s">
        <v>1552</v>
      </c>
      <c r="D53" s="51" t="s">
        <v>1553</v>
      </c>
      <c r="F53" s="51" t="s">
        <v>1554</v>
      </c>
    </row>
    <row r="54" spans="1:8" ht="41.25" customHeight="1">
      <c r="B54" s="51" t="s">
        <v>1555</v>
      </c>
      <c r="D54" s="51" t="s">
        <v>1556</v>
      </c>
      <c r="F54" s="51" t="s">
        <v>1557</v>
      </c>
    </row>
    <row r="55" spans="1:8" ht="27" customHeight="1">
      <c r="B55" s="51"/>
      <c r="D55" s="51" t="s">
        <v>1558</v>
      </c>
      <c r="F55" s="53"/>
    </row>
    <row r="60" spans="1:8">
      <c r="A60" s="42">
        <v>5</v>
      </c>
      <c r="B60" s="45" t="s">
        <v>1559</v>
      </c>
    </row>
    <row r="62" spans="1:8">
      <c r="B62" s="46" t="s">
        <v>1560</v>
      </c>
      <c r="D62" s="47" t="s">
        <v>1561</v>
      </c>
      <c r="F62" s="47" t="s">
        <v>1562</v>
      </c>
      <c r="H62" s="48" t="s">
        <v>1490</v>
      </c>
    </row>
    <row r="63" spans="1:8">
      <c r="H63" s="49" t="s">
        <v>1563</v>
      </c>
    </row>
    <row r="64" spans="1:8" ht="41.25" customHeight="1">
      <c r="B64" s="51" t="s">
        <v>1564</v>
      </c>
      <c r="D64" s="51" t="s">
        <v>1565</v>
      </c>
      <c r="F64" s="51" t="s">
        <v>1566</v>
      </c>
      <c r="H64" s="49" t="s">
        <v>1567</v>
      </c>
    </row>
    <row r="65" spans="1:8" ht="27" customHeight="1">
      <c r="B65" s="51" t="s">
        <v>1568</v>
      </c>
      <c r="D65" s="51" t="s">
        <v>1569</v>
      </c>
      <c r="F65" s="53" t="s">
        <v>1570</v>
      </c>
      <c r="H65" s="49" t="s">
        <v>1571</v>
      </c>
    </row>
    <row r="66" spans="1:8">
      <c r="B66" s="51"/>
      <c r="D66" s="51" t="s">
        <v>1572</v>
      </c>
      <c r="F66" s="53"/>
    </row>
    <row r="67" spans="1:8">
      <c r="B67" s="51"/>
      <c r="D67" s="51" t="s">
        <v>1573</v>
      </c>
      <c r="F67" s="53"/>
    </row>
    <row r="68" spans="1:8">
      <c r="B68" s="51"/>
      <c r="D68" s="53"/>
      <c r="F68" s="53"/>
    </row>
    <row r="69" spans="1:8">
      <c r="B69" s="51"/>
      <c r="D69" s="53"/>
      <c r="F69" s="53"/>
    </row>
    <row r="74" spans="1:8">
      <c r="A74" s="42">
        <v>6</v>
      </c>
      <c r="B74" s="45" t="s">
        <v>1106</v>
      </c>
    </row>
    <row r="76" spans="1:8">
      <c r="B76" s="46" t="s">
        <v>1574</v>
      </c>
      <c r="D76" s="47" t="s">
        <v>1575</v>
      </c>
      <c r="F76" s="47" t="s">
        <v>1576</v>
      </c>
      <c r="H76" s="48" t="s">
        <v>1490</v>
      </c>
    </row>
    <row r="77" spans="1:8">
      <c r="H77" s="49" t="s">
        <v>1577</v>
      </c>
    </row>
    <row r="78" spans="1:8" ht="41.25" customHeight="1">
      <c r="B78" s="51" t="s">
        <v>1578</v>
      </c>
      <c r="D78" s="51" t="s">
        <v>1579</v>
      </c>
      <c r="F78" s="51" t="s">
        <v>1580</v>
      </c>
      <c r="H78" s="49" t="s">
        <v>1581</v>
      </c>
    </row>
    <row r="79" spans="1:8" ht="54.75" customHeight="1">
      <c r="B79" s="51" t="s">
        <v>1582</v>
      </c>
      <c r="D79" s="51" t="s">
        <v>1583</v>
      </c>
      <c r="F79" s="51" t="s">
        <v>1584</v>
      </c>
      <c r="H79" s="49" t="s">
        <v>1585</v>
      </c>
    </row>
    <row r="80" spans="1:8" ht="41.25" customHeight="1">
      <c r="B80" s="51" t="s">
        <v>1586</v>
      </c>
      <c r="D80" s="51" t="s">
        <v>1587</v>
      </c>
      <c r="F80" s="51" t="s">
        <v>1588</v>
      </c>
    </row>
    <row r="81" spans="1:8" ht="43.5" customHeight="1">
      <c r="B81" s="51"/>
      <c r="D81" s="51" t="s">
        <v>1589</v>
      </c>
      <c r="F81" s="53"/>
    </row>
    <row r="82" spans="1:8" ht="27" customHeight="1">
      <c r="B82" s="51"/>
      <c r="D82" s="51" t="s">
        <v>1590</v>
      </c>
      <c r="F82" s="53"/>
    </row>
    <row r="83" spans="1:8">
      <c r="B83" s="51"/>
      <c r="D83" s="53"/>
      <c r="F83" s="53"/>
    </row>
    <row r="84" spans="1:8">
      <c r="B84" s="51"/>
      <c r="D84" s="53"/>
      <c r="F84" s="53"/>
    </row>
    <row r="85" spans="1:8" ht="36" customHeight="1">
      <c r="B85" s="51"/>
      <c r="D85" s="53"/>
      <c r="F85" s="53"/>
    </row>
    <row r="86" spans="1:8">
      <c r="B86" s="51"/>
      <c r="D86" s="53"/>
      <c r="F86" s="53"/>
    </row>
    <row r="87" spans="1:8">
      <c r="B87" s="50"/>
      <c r="D87" s="53"/>
      <c r="F87" s="53"/>
    </row>
    <row r="88" spans="1:8">
      <c r="B88" s="50"/>
      <c r="D88" s="53"/>
      <c r="F88" s="53"/>
    </row>
    <row r="89" spans="1:8">
      <c r="B89" s="50"/>
      <c r="D89" s="53"/>
      <c r="F89" s="53"/>
    </row>
    <row r="90" spans="1:8">
      <c r="D90" s="55"/>
    </row>
    <row r="91" spans="1:8">
      <c r="D91" s="55"/>
    </row>
    <row r="92" spans="1:8">
      <c r="D92" s="55"/>
    </row>
    <row r="94" spans="1:8">
      <c r="A94" s="42">
        <v>7</v>
      </c>
      <c r="B94" s="45" t="s">
        <v>1591</v>
      </c>
    </row>
    <row r="95" spans="1:8">
      <c r="B95" s="56"/>
    </row>
    <row r="96" spans="1:8">
      <c r="B96" s="46" t="s">
        <v>1592</v>
      </c>
      <c r="D96" s="47" t="s">
        <v>1593</v>
      </c>
      <c r="F96" s="47" t="s">
        <v>1594</v>
      </c>
      <c r="H96" s="48" t="s">
        <v>1490</v>
      </c>
    </row>
    <row r="97" spans="1:8">
      <c r="H97" s="49" t="s">
        <v>1595</v>
      </c>
    </row>
    <row r="98" spans="1:8" ht="27" customHeight="1">
      <c r="B98" s="51" t="s">
        <v>1596</v>
      </c>
      <c r="D98" s="51" t="s">
        <v>1597</v>
      </c>
      <c r="F98" s="51" t="s">
        <v>1598</v>
      </c>
      <c r="H98" s="49" t="s">
        <v>1599</v>
      </c>
    </row>
    <row r="99" spans="1:8" ht="27" customHeight="1">
      <c r="B99" s="51"/>
      <c r="D99" s="51" t="s">
        <v>1600</v>
      </c>
      <c r="F99" s="51" t="s">
        <v>1601</v>
      </c>
      <c r="H99" s="49" t="s">
        <v>1602</v>
      </c>
    </row>
    <row r="100" spans="1:8">
      <c r="B100" s="51"/>
      <c r="D100" s="51" t="s">
        <v>1603</v>
      </c>
      <c r="F100" s="53"/>
    </row>
    <row r="101" spans="1:8">
      <c r="B101" s="51"/>
      <c r="D101" s="51" t="s">
        <v>1604</v>
      </c>
      <c r="F101" s="53"/>
    </row>
    <row r="102" spans="1:8">
      <c r="B102" s="51"/>
      <c r="D102" s="53"/>
      <c r="F102" s="53"/>
    </row>
    <row r="103" spans="1:8">
      <c r="B103" s="51"/>
      <c r="D103" s="53"/>
      <c r="F103" s="53"/>
    </row>
    <row r="108" spans="1:8">
      <c r="A108" s="42">
        <v>8</v>
      </c>
      <c r="B108" s="45" t="s">
        <v>1605</v>
      </c>
    </row>
    <row r="110" spans="1:8">
      <c r="B110" s="46" t="s">
        <v>1606</v>
      </c>
      <c r="D110" s="47" t="s">
        <v>1607</v>
      </c>
      <c r="F110" s="47" t="s">
        <v>1608</v>
      </c>
      <c r="H110" s="48" t="s">
        <v>1490</v>
      </c>
    </row>
    <row r="111" spans="1:8">
      <c r="H111" s="49" t="s">
        <v>1609</v>
      </c>
    </row>
    <row r="112" spans="1:8" ht="27" customHeight="1">
      <c r="B112" s="51" t="s">
        <v>1610</v>
      </c>
      <c r="D112" s="51" t="s">
        <v>1611</v>
      </c>
      <c r="F112" s="51" t="s">
        <v>1612</v>
      </c>
      <c r="H112" s="49" t="s">
        <v>1613</v>
      </c>
    </row>
    <row r="113" spans="2:8" ht="27" customHeight="1">
      <c r="B113" s="51"/>
      <c r="D113" s="51" t="s">
        <v>1614</v>
      </c>
      <c r="F113" s="51" t="s">
        <v>1615</v>
      </c>
      <c r="H113" s="49" t="s">
        <v>1616</v>
      </c>
    </row>
    <row r="114" spans="2:8" ht="27" customHeight="1">
      <c r="B114" s="51"/>
      <c r="D114" s="51" t="s">
        <v>1617</v>
      </c>
      <c r="F114" s="51" t="s">
        <v>1618</v>
      </c>
    </row>
    <row r="115" spans="2:8" ht="27" customHeight="1">
      <c r="B115" s="51"/>
      <c r="D115" s="53"/>
      <c r="F115" s="51" t="s">
        <v>1619</v>
      </c>
    </row>
    <row r="116" spans="2:8">
      <c r="B116" s="51"/>
      <c r="D116" s="53"/>
      <c r="F116" s="53"/>
    </row>
    <row r="117" spans="2:8">
      <c r="B117" s="51"/>
      <c r="D117" s="53"/>
      <c r="F117" s="5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7"/>
  <sheetViews>
    <sheetView zoomScale="86" zoomScaleNormal="86" workbookViewId="0">
      <pane xSplit="2" ySplit="3" topLeftCell="C4" activePane="bottomRight" state="frozen"/>
      <selection pane="bottomRight" activeCell="A7" sqref="A7"/>
      <selection pane="bottomLeft" activeCell="A4" sqref="A4"/>
      <selection pane="topRight" activeCell="C1" sqref="C1"/>
    </sheetView>
  </sheetViews>
  <sheetFormatPr defaultColWidth="9" defaultRowHeight="14.45"/>
  <cols>
    <col min="1" max="1" width="2.5703125" style="57" customWidth="1"/>
    <col min="2" max="2" width="37.85546875" style="57" customWidth="1"/>
    <col min="3" max="3" width="32.5703125" style="57" customWidth="1"/>
    <col min="4" max="10" width="28.5703125" style="57" customWidth="1"/>
    <col min="11" max="11" width="34.85546875" style="57" customWidth="1"/>
    <col min="12" max="16" width="28.5703125" style="57" customWidth="1"/>
    <col min="17" max="17" width="32.140625" style="57" customWidth="1"/>
    <col min="18" max="25" width="28.5703125" style="57" customWidth="1"/>
    <col min="26" max="16384" width="9" style="57"/>
  </cols>
  <sheetData>
    <row r="1" spans="2:25" ht="15.75" customHeight="1">
      <c r="B1" s="58" t="s">
        <v>1620</v>
      </c>
      <c r="C1" s="59"/>
    </row>
    <row r="2" spans="2:25" s="60" customFormat="1" ht="15.75" customHeight="1">
      <c r="B2" s="61" t="s">
        <v>1621</v>
      </c>
      <c r="C2" s="62"/>
      <c r="D2" s="62"/>
      <c r="E2" s="62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4"/>
    </row>
    <row r="3" spans="2:25" s="65" customFormat="1" ht="15" customHeight="1">
      <c r="B3" s="66" t="s">
        <v>1622</v>
      </c>
      <c r="C3" s="67"/>
      <c r="D3" s="67" t="s">
        <v>1623</v>
      </c>
      <c r="E3" s="67"/>
      <c r="F3" s="68"/>
      <c r="G3" s="69" t="s">
        <v>1624</v>
      </c>
      <c r="H3" s="69"/>
      <c r="I3" s="69"/>
      <c r="J3" s="69"/>
      <c r="K3" s="70"/>
      <c r="L3" s="71"/>
      <c r="M3" s="71" t="s">
        <v>1625</v>
      </c>
      <c r="N3" s="71"/>
      <c r="O3" s="71"/>
      <c r="P3" s="72"/>
      <c r="Q3" s="73"/>
      <c r="R3" s="73" t="s">
        <v>1626</v>
      </c>
      <c r="S3" s="73"/>
      <c r="T3" s="74"/>
      <c r="U3" s="75"/>
      <c r="V3" s="75" t="s">
        <v>1627</v>
      </c>
      <c r="W3" s="75"/>
      <c r="X3" s="75"/>
      <c r="Y3" s="76"/>
    </row>
    <row r="4" spans="2:25" ht="30" customHeight="1">
      <c r="B4" s="77" t="s">
        <v>1628</v>
      </c>
      <c r="C4" s="78"/>
      <c r="D4" s="79" t="s">
        <v>1629</v>
      </c>
      <c r="E4" s="80" t="s">
        <v>1630</v>
      </c>
      <c r="F4" s="81" t="s">
        <v>1631</v>
      </c>
      <c r="G4" s="79" t="s">
        <v>1632</v>
      </c>
      <c r="H4" s="79" t="s">
        <v>1632</v>
      </c>
      <c r="I4" s="80" t="s">
        <v>1633</v>
      </c>
      <c r="J4" s="82" t="s">
        <v>1634</v>
      </c>
      <c r="K4" s="81"/>
      <c r="L4" s="79" t="s">
        <v>1635</v>
      </c>
      <c r="M4" s="79" t="s">
        <v>1636</v>
      </c>
      <c r="N4" s="79" t="s">
        <v>1637</v>
      </c>
      <c r="O4" s="79" t="s">
        <v>1638</v>
      </c>
      <c r="P4" s="83" t="s">
        <v>1639</v>
      </c>
      <c r="Q4" s="78" t="s">
        <v>1640</v>
      </c>
      <c r="R4" s="79"/>
      <c r="S4" s="80" t="s">
        <v>1641</v>
      </c>
      <c r="T4" s="81" t="s">
        <v>1642</v>
      </c>
      <c r="U4" s="79" t="s">
        <v>1643</v>
      </c>
      <c r="V4" s="79" t="s">
        <v>1644</v>
      </c>
      <c r="W4" s="79"/>
      <c r="X4" s="79"/>
      <c r="Y4" s="83" t="s">
        <v>1645</v>
      </c>
    </row>
    <row r="5" spans="2:25" ht="42.75" customHeight="1">
      <c r="B5" s="84" t="s">
        <v>1646</v>
      </c>
      <c r="C5" s="85" t="s">
        <v>1647</v>
      </c>
      <c r="D5" s="86" t="s">
        <v>1648</v>
      </c>
      <c r="E5" s="87" t="s">
        <v>1649</v>
      </c>
      <c r="F5" s="88" t="s">
        <v>1650</v>
      </c>
      <c r="G5" s="86" t="s">
        <v>1417</v>
      </c>
      <c r="H5" s="86" t="s">
        <v>1651</v>
      </c>
      <c r="I5" s="89"/>
      <c r="J5" s="90" t="s">
        <v>1417</v>
      </c>
      <c r="K5" s="88" t="s">
        <v>1652</v>
      </c>
      <c r="L5" s="86" t="s">
        <v>1653</v>
      </c>
      <c r="M5" s="86" t="s">
        <v>1654</v>
      </c>
      <c r="N5" s="86" t="s">
        <v>1655</v>
      </c>
      <c r="O5" s="86" t="s">
        <v>1656</v>
      </c>
      <c r="P5" s="91" t="s">
        <v>1657</v>
      </c>
      <c r="Q5" s="85" t="s">
        <v>1658</v>
      </c>
      <c r="R5" s="86" t="s">
        <v>1659</v>
      </c>
      <c r="S5" s="89" t="s">
        <v>1660</v>
      </c>
      <c r="T5" s="92" t="s">
        <v>1661</v>
      </c>
      <c r="U5" s="93" t="s">
        <v>1417</v>
      </c>
      <c r="V5" s="94" t="s">
        <v>1662</v>
      </c>
      <c r="W5" s="93"/>
      <c r="X5" s="94" t="s">
        <v>1663</v>
      </c>
      <c r="Y5" s="95" t="s">
        <v>1664</v>
      </c>
    </row>
    <row r="6" spans="2:25" ht="258.75" customHeight="1">
      <c r="B6" s="96" t="s">
        <v>1665</v>
      </c>
      <c r="C6" s="97" t="s">
        <v>1666</v>
      </c>
      <c r="D6" s="98" t="s">
        <v>1667</v>
      </c>
      <c r="E6" s="99" t="s">
        <v>1668</v>
      </c>
      <c r="F6" s="100" t="s">
        <v>1669</v>
      </c>
      <c r="G6" s="98" t="s">
        <v>1670</v>
      </c>
      <c r="H6" s="99" t="s">
        <v>1671</v>
      </c>
      <c r="I6" s="99" t="s">
        <v>1672</v>
      </c>
      <c r="J6" s="101" t="s">
        <v>1673</v>
      </c>
      <c r="K6" s="100" t="s">
        <v>1674</v>
      </c>
      <c r="L6" s="98" t="s">
        <v>1675</v>
      </c>
      <c r="M6" s="102" t="s">
        <v>1676</v>
      </c>
      <c r="N6" s="98" t="s">
        <v>1677</v>
      </c>
      <c r="O6" s="98" t="s">
        <v>1678</v>
      </c>
      <c r="P6" s="103" t="s">
        <v>1679</v>
      </c>
      <c r="Q6" s="97" t="s">
        <v>1680</v>
      </c>
      <c r="R6" s="98" t="s">
        <v>1681</v>
      </c>
      <c r="S6" s="99" t="s">
        <v>1682</v>
      </c>
      <c r="T6" s="100" t="s">
        <v>1683</v>
      </c>
      <c r="U6" s="98" t="s">
        <v>1684</v>
      </c>
      <c r="V6" s="98" t="s">
        <v>1685</v>
      </c>
      <c r="W6" s="98" t="s">
        <v>1686</v>
      </c>
      <c r="X6" s="98" t="s">
        <v>1687</v>
      </c>
      <c r="Y6" s="103" t="s">
        <v>1688</v>
      </c>
    </row>
    <row r="7" spans="2:25" ht="72" customHeight="1">
      <c r="B7" s="104" t="s">
        <v>1689</v>
      </c>
      <c r="C7" s="105" t="s">
        <v>1690</v>
      </c>
      <c r="D7" s="106" t="s">
        <v>1691</v>
      </c>
      <c r="E7" s="107" t="s">
        <v>1692</v>
      </c>
      <c r="F7" s="108" t="s">
        <v>1693</v>
      </c>
      <c r="G7" s="106" t="s">
        <v>1694</v>
      </c>
      <c r="H7" s="107"/>
      <c r="I7" s="107" t="s">
        <v>1695</v>
      </c>
      <c r="J7" s="109" t="s">
        <v>1696</v>
      </c>
      <c r="K7" s="108" t="s">
        <v>1693</v>
      </c>
      <c r="L7" s="106"/>
      <c r="M7" s="106"/>
      <c r="N7" s="106"/>
      <c r="O7" s="106" t="s">
        <v>1697</v>
      </c>
      <c r="P7" s="110" t="s">
        <v>1698</v>
      </c>
      <c r="Q7" s="105" t="s">
        <v>1699</v>
      </c>
      <c r="R7" s="106"/>
      <c r="S7" s="107" t="s">
        <v>1700</v>
      </c>
      <c r="T7" s="108"/>
      <c r="U7" s="106"/>
      <c r="V7" s="106"/>
      <c r="W7" s="106"/>
      <c r="X7" s="106" t="s">
        <v>1701</v>
      </c>
      <c r="Y7" s="110" t="s">
        <v>1702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Poonam Sharma</dc:creator>
  <cp:keywords/>
  <dc:description/>
  <cp:lastModifiedBy>Nitin Jain</cp:lastModifiedBy>
  <cp:revision>0</cp:revision>
  <dcterms:created xsi:type="dcterms:W3CDTF">2025-01-23T00:33:01Z</dcterms:created>
  <dcterms:modified xsi:type="dcterms:W3CDTF">2026-04-29T03:57:25Z</dcterms:modified>
  <cp:category/>
  <cp:contentStatus/>
</cp:coreProperties>
</file>